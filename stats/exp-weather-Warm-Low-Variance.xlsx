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esktop/exp-weather/"/>
    </mc:Choice>
  </mc:AlternateContent>
  <xr:revisionPtr revIDLastSave="0" documentId="13_ncr:40009_{090DCD86-7838-7F47-9ABE-7F37F288EFF7}" xr6:coauthVersionLast="47" xr6:coauthVersionMax="47" xr10:uidLastSave="{00000000-0000-0000-0000-000000000000}"/>
  <bookViews>
    <workbookView xWindow="0" yWindow="500" windowWidth="28800" windowHeight="15860"/>
  </bookViews>
  <sheets>
    <sheet name="stats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6" i="1" l="1"/>
  <c r="O96" i="1"/>
  <c r="P96" i="1"/>
  <c r="Q96" i="1"/>
  <c r="R96" i="1"/>
  <c r="S96" i="1"/>
  <c r="T96" i="1"/>
  <c r="U96" i="1"/>
  <c r="V96" i="1"/>
  <c r="W96" i="1"/>
  <c r="X96" i="1"/>
</calcChain>
</file>

<file path=xl/sharedStrings.xml><?xml version="1.0" encoding="utf-8"?>
<sst xmlns="http://schemas.openxmlformats.org/spreadsheetml/2006/main" count="777" uniqueCount="33">
  <si>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</si>
  <si>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</si>
  <si>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</si>
  <si>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</si>
  <si>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</si>
  <si>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</si>
  <si>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</si>
  <si>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</si>
  <si>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</si>
  <si>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</si>
  <si>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</si>
  <si>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</si>
  <si>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</si>
  <si>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</si>
  <si>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</si>
  <si>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</si>
  <si>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</si>
  <si>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</si>
  <si>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</si>
  <si>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</si>
  <si>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</si>
  <si>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</si>
  <si>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</si>
  <si>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</si>
  <si>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</si>
  <si>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93x93</t>
  </si>
  <si>
    <t>186x186</t>
  </si>
  <si>
    <t>Optimal</t>
  </si>
  <si>
    <t>Static</t>
  </si>
  <si>
    <t>UAV 1</t>
  </si>
  <si>
    <t>UAV 2</t>
  </si>
  <si>
    <t>UAV 3</t>
  </si>
  <si>
    <t>UAV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</si>
</sst>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a1" displayName="Tabella1" ref="A1:Y96" totalsRowCount="1">
  <autoFilter ref="A1:Y95"/>
  <tableColumns count="25">
    <tableColumn id="1" name="macro_grid_resolution"/>
    <tableColumn id="2" name="micro_grid_resolution"/>
    <tableColumn id="3" name="micro_grid_dimension_cells"/>
    <tableColumn id="4" name="no_fly_zone_cells"/>
    <tableColumn id="5" name="no_fly_zone_%_of_scenario_cells"/>
    <tableColumn id="6" name="roi_dimension_cells"/>
    <tableColumn id="7" name="roi_dimension_%_of_scenario_cells"/>
    <tableColumn id="8" name="roads_cells"/>
    <tableColumn id="9" name="roads_%_of_roi_cells"/>
    <tableColumn id="10" name="starting_weather_conditions"/>
    <tableColumn id="11" name="starting_uavs_autonomy_cells"/>
    <tableColumn id="12" name="weather_forecasts"/>
    <tableColumn id="13" name="max_number_of_uavs"/>
    <tableColumn id="14" name="number_of_bsss_used" totalsRowFunction="custom">
      <totalsRowFormula>AVERAGE(Tabella1[number_of_bsss_used])</totalsRowFormula>
    </tableColumn>
    <tableColumn id="15" name="cumulative_energy_used_by_uavs" totalsRowFunction="custom">
      <totalsRowFormula>AVERAGE(Tabella1[cumulative_energy_used_by_uavs])</totalsRowFormula>
    </tableColumn>
    <tableColumn id="16" name="cumulative_energy_wasted_by_uavs" totalsRowFunction="custom">
      <totalsRowFormula>AVERAGE(Tabella1[cumulative_energy_wasted_by_uavs])</totalsRowFormula>
    </tableColumn>
    <tableColumn id="17" name="cumulative_number_of_batteries_used_by_uavs" totalsRowFunction="custom">
      <totalsRowFormula>AVERAGE(Tabella1[cumulative_number_of_batteries_used_by_uavs])</totalsRowFormula>
    </tableColumn>
    <tableColumn id="18" name="mission_time_seconds" totalsRowFunction="custom">
      <totalsRowFormula>AVERAGE(Tabella1[mission_time_seconds])</totalsRowFormula>
    </tableColumn>
    <tableColumn id="19" name="bsss_mission_time_seconds" totalsRowFunction="custom">
      <totalsRowFormula>AVERAGE(Tabella1[bsss_mission_time_seconds])</totalsRowFormula>
    </tableColumn>
    <tableColumn id="20" name="cumulative_swap_time_seconds" totalsRowFunction="custom">
      <totalsRowFormula>AVERAGE(Tabella1[cumulative_swap_time_seconds])</totalsRowFormula>
    </tableColumn>
    <tableColumn id="21" name="darp_execution_time_seconds" totalsRowFunction="custom">
      <totalsRowFormula>AVERAGE(Tabella1[darp_execution_time_seconds])</totalsRowFormula>
    </tableColumn>
    <tableColumn id="22" name="stc_execution_time_seconds" totalsRowFunction="custom">
      <totalsRowFormula>AVERAGE(Tabella1[stc_execution_time_seconds])</totalsRowFormula>
    </tableColumn>
    <tableColumn id="23" name="pp_uavs_execution_time_seconds" totalsRowFunction="custom">
      <totalsRowFormula>AVERAGE(Tabella1[pp_uavs_execution_time_seconds])</totalsRowFormula>
    </tableColumn>
    <tableColumn id="24" name="pp_bsss_execution_time_seconds" totalsRowFunction="custom">
      <totalsRowFormula>AVERAGE(Tabella1[pp_bsss_execution_time_seconds])</totalsRowFormula>
    </tableColumn>
    <tableColumn id="25" name="total_execution_time_second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tabSelected="1" topLeftCell="T64" workbookViewId="0">
      <selection activeCell="X96" sqref="N96:X96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>
        <v>34596</v>
      </c>
      <c r="D2">
        <v>15004</v>
      </c>
      <c r="E2">
        <v>43.37</v>
      </c>
      <c r="F2">
        <v>19592</v>
      </c>
      <c r="G2">
        <v>56.63</v>
      </c>
      <c r="H2">
        <v>4616</v>
      </c>
      <c r="I2">
        <v>23.56</v>
      </c>
      <c r="J2" t="s">
        <v>27</v>
      </c>
      <c r="K2">
        <v>870</v>
      </c>
      <c r="L2" t="s">
        <v>28</v>
      </c>
      <c r="M2">
        <v>4</v>
      </c>
      <c r="N2">
        <v>3</v>
      </c>
      <c r="O2">
        <v>21081</v>
      </c>
      <c r="P2">
        <v>1489</v>
      </c>
      <c r="Q2">
        <v>26</v>
      </c>
      <c r="R2">
        <v>5980</v>
      </c>
      <c r="S2">
        <v>1325</v>
      </c>
      <c r="T2">
        <v>3960</v>
      </c>
      <c r="U2">
        <v>2.8567960000000001</v>
      </c>
      <c r="V2">
        <v>1.4243570000000001</v>
      </c>
      <c r="W2">
        <v>0.10362399999999999</v>
      </c>
      <c r="X2">
        <v>0.197631</v>
      </c>
      <c r="Y2">
        <v>4.5869650000000002</v>
      </c>
    </row>
    <row r="3" spans="1:25" x14ac:dyDescent="0.2">
      <c r="A3" t="s">
        <v>25</v>
      </c>
      <c r="B3" t="s">
        <v>26</v>
      </c>
      <c r="C3">
        <v>34596</v>
      </c>
      <c r="D3">
        <v>15004</v>
      </c>
      <c r="E3">
        <v>43.37</v>
      </c>
      <c r="F3">
        <v>19592</v>
      </c>
      <c r="G3">
        <v>56.63</v>
      </c>
      <c r="H3">
        <v>4616</v>
      </c>
      <c r="I3">
        <v>23.56</v>
      </c>
      <c r="J3" t="s">
        <v>27</v>
      </c>
      <c r="K3">
        <v>870</v>
      </c>
      <c r="L3" t="s">
        <v>28</v>
      </c>
      <c r="M3">
        <v>4</v>
      </c>
      <c r="N3">
        <v>4</v>
      </c>
      <c r="O3">
        <v>20192</v>
      </c>
      <c r="P3">
        <v>600</v>
      </c>
      <c r="Q3">
        <v>25</v>
      </c>
      <c r="R3">
        <v>5980</v>
      </c>
      <c r="S3">
        <v>644</v>
      </c>
      <c r="T3">
        <v>3780</v>
      </c>
      <c r="U3">
        <v>0.58187299999999997</v>
      </c>
      <c r="V3">
        <v>1.14331</v>
      </c>
      <c r="W3">
        <v>5.3268999999999997E-2</v>
      </c>
      <c r="X3">
        <v>0.115393</v>
      </c>
      <c r="Y3">
        <v>1.8944669999999999</v>
      </c>
    </row>
    <row r="4" spans="1:25" x14ac:dyDescent="0.2">
      <c r="A4" t="s">
        <v>25</v>
      </c>
      <c r="B4" t="s">
        <v>26</v>
      </c>
      <c r="C4">
        <v>34596</v>
      </c>
      <c r="D4">
        <v>15004</v>
      </c>
      <c r="E4">
        <v>43.37</v>
      </c>
      <c r="F4">
        <v>19592</v>
      </c>
      <c r="G4">
        <v>56.63</v>
      </c>
      <c r="H4">
        <v>4616</v>
      </c>
      <c r="I4">
        <v>23.56</v>
      </c>
      <c r="J4" t="s">
        <v>27</v>
      </c>
      <c r="K4">
        <v>870</v>
      </c>
      <c r="L4" t="s">
        <v>28</v>
      </c>
      <c r="M4">
        <v>4</v>
      </c>
      <c r="N4">
        <v>4</v>
      </c>
      <c r="O4">
        <v>19866</v>
      </c>
      <c r="P4">
        <v>274</v>
      </c>
      <c r="Q4">
        <v>24</v>
      </c>
      <c r="R4">
        <v>5800</v>
      </c>
      <c r="S4">
        <v>393</v>
      </c>
      <c r="T4">
        <v>3600</v>
      </c>
      <c r="U4">
        <v>2.2507009999999998</v>
      </c>
      <c r="V4">
        <v>1.789723</v>
      </c>
      <c r="W4">
        <v>0.101411</v>
      </c>
      <c r="X4">
        <v>0.15240600000000001</v>
      </c>
      <c r="Y4">
        <v>4.2949900000000003</v>
      </c>
    </row>
    <row r="5" spans="1:25" x14ac:dyDescent="0.2">
      <c r="A5" t="s">
        <v>25</v>
      </c>
      <c r="B5" t="s">
        <v>26</v>
      </c>
      <c r="C5">
        <v>34596</v>
      </c>
      <c r="D5">
        <v>15004</v>
      </c>
      <c r="E5">
        <v>43.37</v>
      </c>
      <c r="F5">
        <v>19592</v>
      </c>
      <c r="G5">
        <v>56.63</v>
      </c>
      <c r="H5">
        <v>4616</v>
      </c>
      <c r="I5">
        <v>23.56</v>
      </c>
      <c r="J5" t="s">
        <v>27</v>
      </c>
      <c r="K5">
        <v>870</v>
      </c>
      <c r="L5" t="s">
        <v>28</v>
      </c>
      <c r="M5">
        <v>4</v>
      </c>
      <c r="N5">
        <v>4</v>
      </c>
      <c r="O5">
        <v>20329</v>
      </c>
      <c r="P5">
        <v>737</v>
      </c>
      <c r="Q5">
        <v>25</v>
      </c>
      <c r="R5">
        <v>5980</v>
      </c>
      <c r="S5">
        <v>796</v>
      </c>
      <c r="T5">
        <v>3780</v>
      </c>
      <c r="U5">
        <v>1.548646</v>
      </c>
      <c r="V5">
        <v>1.0186329999999999</v>
      </c>
      <c r="W5">
        <v>3.9634999999999997E-2</v>
      </c>
      <c r="X5">
        <v>6.1892000000000003E-2</v>
      </c>
      <c r="Y5">
        <v>2.669057</v>
      </c>
    </row>
    <row r="6" spans="1:25" x14ac:dyDescent="0.2">
      <c r="A6" t="s">
        <v>25</v>
      </c>
      <c r="B6" t="s">
        <v>26</v>
      </c>
      <c r="C6">
        <v>34596</v>
      </c>
      <c r="D6">
        <v>15004</v>
      </c>
      <c r="E6">
        <v>43.37</v>
      </c>
      <c r="F6">
        <v>19592</v>
      </c>
      <c r="G6">
        <v>56.63</v>
      </c>
      <c r="H6">
        <v>4616</v>
      </c>
      <c r="I6">
        <v>23.56</v>
      </c>
      <c r="J6" t="s">
        <v>27</v>
      </c>
      <c r="K6">
        <v>870</v>
      </c>
      <c r="L6" t="s">
        <v>28</v>
      </c>
      <c r="M6">
        <v>4</v>
      </c>
      <c r="N6">
        <v>4</v>
      </c>
      <c r="O6">
        <v>19902</v>
      </c>
      <c r="P6">
        <v>310</v>
      </c>
      <c r="Q6">
        <v>24</v>
      </c>
      <c r="R6">
        <v>5800</v>
      </c>
      <c r="S6">
        <v>538</v>
      </c>
      <c r="T6">
        <v>3600</v>
      </c>
      <c r="U6">
        <v>0.87621700000000002</v>
      </c>
      <c r="V6">
        <v>0.96426500000000004</v>
      </c>
      <c r="W6">
        <v>3.5181999999999998E-2</v>
      </c>
      <c r="X6">
        <v>8.1465999999999997E-2</v>
      </c>
      <c r="Y6">
        <v>1.9574320000000001</v>
      </c>
    </row>
    <row r="7" spans="1:25" x14ac:dyDescent="0.2">
      <c r="A7" t="s">
        <v>25</v>
      </c>
      <c r="B7" t="s">
        <v>26</v>
      </c>
      <c r="C7">
        <v>34596</v>
      </c>
      <c r="D7">
        <v>15004</v>
      </c>
      <c r="E7">
        <v>43.37</v>
      </c>
      <c r="F7">
        <v>19592</v>
      </c>
      <c r="G7">
        <v>56.63</v>
      </c>
      <c r="H7">
        <v>4616</v>
      </c>
      <c r="I7">
        <v>23.56</v>
      </c>
      <c r="J7" t="s">
        <v>27</v>
      </c>
      <c r="K7">
        <v>870</v>
      </c>
      <c r="L7" t="s">
        <v>28</v>
      </c>
      <c r="M7">
        <v>4</v>
      </c>
      <c r="N7">
        <v>4</v>
      </c>
      <c r="O7">
        <v>20165</v>
      </c>
      <c r="P7">
        <v>573</v>
      </c>
      <c r="Q7">
        <v>24</v>
      </c>
      <c r="R7">
        <v>5800</v>
      </c>
      <c r="S7">
        <v>570</v>
      </c>
      <c r="T7">
        <v>3600</v>
      </c>
      <c r="U7">
        <v>0.97451500000000002</v>
      </c>
      <c r="V7">
        <v>0.95059300000000002</v>
      </c>
      <c r="W7">
        <v>4.2328999999999999E-2</v>
      </c>
      <c r="X7">
        <v>0.116018</v>
      </c>
      <c r="Y7">
        <v>2.0837020000000002</v>
      </c>
    </row>
    <row r="8" spans="1:25" x14ac:dyDescent="0.2">
      <c r="A8" t="s">
        <v>25</v>
      </c>
      <c r="B8" t="s">
        <v>26</v>
      </c>
      <c r="C8">
        <v>34596</v>
      </c>
      <c r="D8">
        <v>15004</v>
      </c>
      <c r="E8">
        <v>43.37</v>
      </c>
      <c r="F8">
        <v>19592</v>
      </c>
      <c r="G8">
        <v>56.63</v>
      </c>
      <c r="H8">
        <v>4616</v>
      </c>
      <c r="I8">
        <v>23.56</v>
      </c>
      <c r="J8" t="s">
        <v>27</v>
      </c>
      <c r="K8">
        <v>870</v>
      </c>
      <c r="L8" t="s">
        <v>28</v>
      </c>
      <c r="M8">
        <v>4</v>
      </c>
      <c r="N8">
        <v>4</v>
      </c>
      <c r="O8">
        <v>20033</v>
      </c>
      <c r="P8">
        <v>441</v>
      </c>
      <c r="Q8">
        <v>24</v>
      </c>
      <c r="R8">
        <v>5800</v>
      </c>
      <c r="S8">
        <v>485</v>
      </c>
      <c r="T8">
        <v>3600</v>
      </c>
      <c r="U8">
        <v>0.70284500000000005</v>
      </c>
      <c r="V8">
        <v>0.95369000000000004</v>
      </c>
      <c r="W8">
        <v>3.6903999999999999E-2</v>
      </c>
      <c r="X8">
        <v>9.7448000000000007E-2</v>
      </c>
      <c r="Y8">
        <v>1.791115</v>
      </c>
    </row>
    <row r="9" spans="1:25" x14ac:dyDescent="0.2">
      <c r="A9" t="s">
        <v>25</v>
      </c>
      <c r="B9" t="s">
        <v>26</v>
      </c>
      <c r="C9">
        <v>34596</v>
      </c>
      <c r="D9">
        <v>15004</v>
      </c>
      <c r="E9">
        <v>43.37</v>
      </c>
      <c r="F9">
        <v>19592</v>
      </c>
      <c r="G9">
        <v>56.63</v>
      </c>
      <c r="H9">
        <v>4616</v>
      </c>
      <c r="I9">
        <v>23.56</v>
      </c>
      <c r="J9" t="s">
        <v>27</v>
      </c>
      <c r="K9">
        <v>870</v>
      </c>
      <c r="L9" t="s">
        <v>28</v>
      </c>
      <c r="M9">
        <v>4</v>
      </c>
      <c r="N9">
        <v>4</v>
      </c>
      <c r="O9">
        <v>20127</v>
      </c>
      <c r="P9">
        <v>535</v>
      </c>
      <c r="Q9">
        <v>24</v>
      </c>
      <c r="R9">
        <v>5800</v>
      </c>
      <c r="S9">
        <v>443</v>
      </c>
      <c r="T9">
        <v>3600</v>
      </c>
      <c r="U9">
        <v>0.56078899999999998</v>
      </c>
      <c r="V9">
        <v>0.94038200000000005</v>
      </c>
      <c r="W9">
        <v>4.1756000000000001E-2</v>
      </c>
      <c r="X9">
        <v>0.106352</v>
      </c>
      <c r="Y9">
        <v>1.6495550000000001</v>
      </c>
    </row>
    <row r="10" spans="1:25" x14ac:dyDescent="0.2">
      <c r="A10" t="s">
        <v>25</v>
      </c>
      <c r="B10" t="s">
        <v>26</v>
      </c>
      <c r="C10">
        <v>34596</v>
      </c>
      <c r="D10">
        <v>15004</v>
      </c>
      <c r="E10">
        <v>43.37</v>
      </c>
      <c r="F10">
        <v>19592</v>
      </c>
      <c r="G10">
        <v>56.63</v>
      </c>
      <c r="H10">
        <v>4616</v>
      </c>
      <c r="I10">
        <v>23.56</v>
      </c>
      <c r="J10" t="s">
        <v>27</v>
      </c>
      <c r="K10">
        <v>870</v>
      </c>
      <c r="L10" t="s">
        <v>28</v>
      </c>
      <c r="M10">
        <v>4</v>
      </c>
      <c r="N10">
        <v>4</v>
      </c>
      <c r="O10">
        <v>20009</v>
      </c>
      <c r="P10">
        <v>417</v>
      </c>
      <c r="Q10">
        <v>24</v>
      </c>
      <c r="R10">
        <v>5800</v>
      </c>
      <c r="S10">
        <v>631</v>
      </c>
      <c r="T10">
        <v>3600</v>
      </c>
      <c r="U10">
        <v>0.86027699999999996</v>
      </c>
      <c r="V10">
        <v>1.260154</v>
      </c>
      <c r="W10">
        <v>3.6824000000000003E-2</v>
      </c>
      <c r="X10">
        <v>6.9218000000000002E-2</v>
      </c>
      <c r="Y10">
        <v>2.2267329999999999</v>
      </c>
    </row>
    <row r="11" spans="1:25" x14ac:dyDescent="0.2">
      <c r="A11" t="s">
        <v>25</v>
      </c>
      <c r="B11" t="s">
        <v>26</v>
      </c>
      <c r="C11">
        <v>34596</v>
      </c>
      <c r="D11">
        <v>15004</v>
      </c>
      <c r="E11">
        <v>43.37</v>
      </c>
      <c r="F11">
        <v>19592</v>
      </c>
      <c r="G11">
        <v>56.63</v>
      </c>
      <c r="H11">
        <v>4616</v>
      </c>
      <c r="I11">
        <v>23.56</v>
      </c>
      <c r="J11" t="s">
        <v>27</v>
      </c>
      <c r="K11">
        <v>870</v>
      </c>
      <c r="L11" t="s">
        <v>28</v>
      </c>
      <c r="M11">
        <v>4</v>
      </c>
      <c r="N11">
        <v>3</v>
      </c>
      <c r="O11">
        <v>20553</v>
      </c>
      <c r="P11">
        <v>961</v>
      </c>
      <c r="Q11">
        <v>25</v>
      </c>
      <c r="R11">
        <v>5980</v>
      </c>
      <c r="S11">
        <v>1079</v>
      </c>
      <c r="T11">
        <v>3780</v>
      </c>
      <c r="U11">
        <v>0.74475000000000002</v>
      </c>
      <c r="V11">
        <v>0.98208300000000004</v>
      </c>
      <c r="W11">
        <v>4.1281999999999999E-2</v>
      </c>
      <c r="X11">
        <v>9.1317999999999996E-2</v>
      </c>
      <c r="Y11">
        <v>1.8598209999999999</v>
      </c>
    </row>
    <row r="12" spans="1:25" x14ac:dyDescent="0.2">
      <c r="A12" t="s">
        <v>25</v>
      </c>
      <c r="B12" t="s">
        <v>26</v>
      </c>
      <c r="C12">
        <v>34596</v>
      </c>
      <c r="D12">
        <v>15004</v>
      </c>
      <c r="E12">
        <v>43.37</v>
      </c>
      <c r="F12">
        <v>19592</v>
      </c>
      <c r="G12">
        <v>56.63</v>
      </c>
      <c r="H12">
        <v>4616</v>
      </c>
      <c r="I12">
        <v>23.56</v>
      </c>
      <c r="J12" t="s">
        <v>27</v>
      </c>
      <c r="K12">
        <v>870</v>
      </c>
      <c r="L12" t="s">
        <v>28</v>
      </c>
      <c r="M12">
        <v>4</v>
      </c>
      <c r="N12">
        <v>4</v>
      </c>
      <c r="O12">
        <v>20391</v>
      </c>
      <c r="P12">
        <v>799</v>
      </c>
      <c r="Q12">
        <v>25</v>
      </c>
      <c r="R12">
        <v>5980</v>
      </c>
      <c r="S12">
        <v>583</v>
      </c>
      <c r="T12">
        <v>3780</v>
      </c>
      <c r="U12">
        <v>0.62051800000000001</v>
      </c>
      <c r="V12">
        <v>1.203811</v>
      </c>
      <c r="W12">
        <v>4.2430000000000002E-2</v>
      </c>
      <c r="X12">
        <v>0.17823600000000001</v>
      </c>
      <c r="Y12">
        <v>2.0451990000000002</v>
      </c>
    </row>
    <row r="13" spans="1:25" x14ac:dyDescent="0.2">
      <c r="A13" t="s">
        <v>25</v>
      </c>
      <c r="B13" t="s">
        <v>26</v>
      </c>
      <c r="C13">
        <v>34596</v>
      </c>
      <c r="D13">
        <v>15004</v>
      </c>
      <c r="E13">
        <v>43.37</v>
      </c>
      <c r="F13">
        <v>19592</v>
      </c>
      <c r="G13">
        <v>56.63</v>
      </c>
      <c r="H13">
        <v>4616</v>
      </c>
      <c r="I13">
        <v>23.56</v>
      </c>
      <c r="J13" t="s">
        <v>27</v>
      </c>
      <c r="K13">
        <v>870</v>
      </c>
      <c r="L13" t="s">
        <v>28</v>
      </c>
      <c r="M13">
        <v>4</v>
      </c>
      <c r="N13">
        <v>4</v>
      </c>
      <c r="O13">
        <v>20019</v>
      </c>
      <c r="P13">
        <v>427</v>
      </c>
      <c r="Q13">
        <v>24</v>
      </c>
      <c r="R13">
        <v>5800</v>
      </c>
      <c r="S13">
        <v>581</v>
      </c>
      <c r="T13">
        <v>3600</v>
      </c>
      <c r="U13">
        <v>0.53244000000000002</v>
      </c>
      <c r="V13">
        <v>1.131173</v>
      </c>
      <c r="W13">
        <v>3.7635000000000002E-2</v>
      </c>
      <c r="X13">
        <v>0.12628800000000001</v>
      </c>
      <c r="Y13">
        <v>1.827858</v>
      </c>
    </row>
    <row r="14" spans="1:25" x14ac:dyDescent="0.2">
      <c r="A14" t="s">
        <v>25</v>
      </c>
      <c r="B14" t="s">
        <v>26</v>
      </c>
      <c r="C14">
        <v>34596</v>
      </c>
      <c r="D14">
        <v>15004</v>
      </c>
      <c r="E14">
        <v>43.37</v>
      </c>
      <c r="F14">
        <v>19592</v>
      </c>
      <c r="G14">
        <v>56.63</v>
      </c>
      <c r="H14">
        <v>4616</v>
      </c>
      <c r="I14">
        <v>23.56</v>
      </c>
      <c r="J14" t="s">
        <v>27</v>
      </c>
      <c r="K14">
        <v>870</v>
      </c>
      <c r="L14" t="s">
        <v>28</v>
      </c>
      <c r="M14">
        <v>4</v>
      </c>
      <c r="N14">
        <v>4</v>
      </c>
      <c r="O14">
        <v>19893</v>
      </c>
      <c r="P14">
        <v>301</v>
      </c>
      <c r="Q14">
        <v>24</v>
      </c>
      <c r="R14">
        <v>5800</v>
      </c>
      <c r="S14">
        <v>529</v>
      </c>
      <c r="T14">
        <v>3600</v>
      </c>
      <c r="U14">
        <v>0.78913</v>
      </c>
      <c r="V14">
        <v>0.93787299999999996</v>
      </c>
      <c r="W14">
        <v>3.6047000000000003E-2</v>
      </c>
      <c r="X14">
        <v>8.0235000000000001E-2</v>
      </c>
      <c r="Y14">
        <v>1.843485</v>
      </c>
    </row>
    <row r="15" spans="1:25" x14ac:dyDescent="0.2">
      <c r="A15" t="s">
        <v>25</v>
      </c>
      <c r="B15" t="s">
        <v>26</v>
      </c>
      <c r="C15">
        <v>34596</v>
      </c>
      <c r="D15">
        <v>15004</v>
      </c>
      <c r="E15">
        <v>43.37</v>
      </c>
      <c r="F15">
        <v>19592</v>
      </c>
      <c r="G15">
        <v>56.63</v>
      </c>
      <c r="H15">
        <v>4616</v>
      </c>
      <c r="I15">
        <v>23.56</v>
      </c>
      <c r="J15" t="s">
        <v>27</v>
      </c>
      <c r="K15">
        <v>870</v>
      </c>
      <c r="L15" t="s">
        <v>28</v>
      </c>
      <c r="M15">
        <v>4</v>
      </c>
      <c r="N15">
        <v>3</v>
      </c>
      <c r="O15">
        <v>20388</v>
      </c>
      <c r="P15">
        <v>796</v>
      </c>
      <c r="Q15">
        <v>25</v>
      </c>
      <c r="R15">
        <v>5980</v>
      </c>
      <c r="S15">
        <v>955</v>
      </c>
      <c r="T15">
        <v>3780</v>
      </c>
      <c r="U15">
        <v>0.77108699999999997</v>
      </c>
      <c r="V15">
        <v>1.0029570000000001</v>
      </c>
      <c r="W15">
        <v>4.0946000000000003E-2</v>
      </c>
      <c r="X15">
        <v>0.16237499999999999</v>
      </c>
      <c r="Y15">
        <v>1.977563</v>
      </c>
    </row>
    <row r="16" spans="1:25" x14ac:dyDescent="0.2">
      <c r="A16" t="s">
        <v>25</v>
      </c>
      <c r="B16" t="s">
        <v>26</v>
      </c>
      <c r="C16">
        <v>34596</v>
      </c>
      <c r="D16">
        <v>15004</v>
      </c>
      <c r="E16">
        <v>43.37</v>
      </c>
      <c r="F16">
        <v>19592</v>
      </c>
      <c r="G16">
        <v>56.63</v>
      </c>
      <c r="H16">
        <v>4616</v>
      </c>
      <c r="I16">
        <v>23.56</v>
      </c>
      <c r="J16" t="s">
        <v>27</v>
      </c>
      <c r="K16">
        <v>870</v>
      </c>
      <c r="L16" t="s">
        <v>28</v>
      </c>
      <c r="M16">
        <v>4</v>
      </c>
      <c r="N16">
        <v>4</v>
      </c>
      <c r="O16">
        <v>20005</v>
      </c>
      <c r="P16">
        <v>413</v>
      </c>
      <c r="Q16">
        <v>24</v>
      </c>
      <c r="R16">
        <v>5800</v>
      </c>
      <c r="S16">
        <v>387</v>
      </c>
      <c r="T16">
        <v>3600</v>
      </c>
      <c r="U16">
        <v>0.97736100000000004</v>
      </c>
      <c r="V16">
        <v>1.014839</v>
      </c>
      <c r="W16">
        <v>3.6544E-2</v>
      </c>
      <c r="X16">
        <v>5.2957999999999998E-2</v>
      </c>
      <c r="Y16">
        <v>2.081887</v>
      </c>
    </row>
    <row r="17" spans="1:25" x14ac:dyDescent="0.2">
      <c r="A17" t="s">
        <v>25</v>
      </c>
      <c r="B17" t="s">
        <v>26</v>
      </c>
      <c r="C17">
        <v>34596</v>
      </c>
      <c r="D17">
        <v>15004</v>
      </c>
      <c r="E17">
        <v>43.37</v>
      </c>
      <c r="F17">
        <v>19592</v>
      </c>
      <c r="G17">
        <v>56.63</v>
      </c>
      <c r="H17">
        <v>4616</v>
      </c>
      <c r="I17">
        <v>23.56</v>
      </c>
      <c r="J17" t="s">
        <v>27</v>
      </c>
      <c r="K17">
        <v>870</v>
      </c>
      <c r="L17" t="s">
        <v>28</v>
      </c>
      <c r="M17">
        <v>4</v>
      </c>
      <c r="N17">
        <v>4</v>
      </c>
      <c r="O17">
        <v>20054</v>
      </c>
      <c r="P17">
        <v>462</v>
      </c>
      <c r="Q17">
        <v>24</v>
      </c>
      <c r="R17">
        <v>5800</v>
      </c>
      <c r="S17">
        <v>360</v>
      </c>
      <c r="T17">
        <v>3600</v>
      </c>
      <c r="U17">
        <v>0.64467300000000005</v>
      </c>
      <c r="V17">
        <v>1.028095</v>
      </c>
      <c r="W17">
        <v>3.4190999999999999E-2</v>
      </c>
      <c r="X17">
        <v>6.7249000000000003E-2</v>
      </c>
      <c r="Y17">
        <v>1.7743979999999999</v>
      </c>
    </row>
    <row r="18" spans="1:25" x14ac:dyDescent="0.2">
      <c r="A18" t="s">
        <v>25</v>
      </c>
      <c r="B18" t="s">
        <v>26</v>
      </c>
      <c r="C18">
        <v>34596</v>
      </c>
      <c r="D18">
        <v>15004</v>
      </c>
      <c r="E18">
        <v>43.37</v>
      </c>
      <c r="F18">
        <v>19592</v>
      </c>
      <c r="G18">
        <v>56.63</v>
      </c>
      <c r="H18">
        <v>4616</v>
      </c>
      <c r="I18">
        <v>23.56</v>
      </c>
      <c r="J18" t="s">
        <v>27</v>
      </c>
      <c r="K18">
        <v>870</v>
      </c>
      <c r="L18" t="s">
        <v>28</v>
      </c>
      <c r="M18">
        <v>4</v>
      </c>
      <c r="N18">
        <v>4</v>
      </c>
      <c r="O18">
        <v>19940</v>
      </c>
      <c r="P18">
        <v>348</v>
      </c>
      <c r="Q18">
        <v>24</v>
      </c>
      <c r="R18">
        <v>5800</v>
      </c>
      <c r="S18">
        <v>446</v>
      </c>
      <c r="T18">
        <v>3600</v>
      </c>
      <c r="U18">
        <v>2.0922670000000001</v>
      </c>
      <c r="V18">
        <v>0.95432899999999998</v>
      </c>
      <c r="W18">
        <v>4.9177999999999999E-2</v>
      </c>
      <c r="X18">
        <v>9.6424999999999997E-2</v>
      </c>
      <c r="Y18">
        <v>3.1925699999999999</v>
      </c>
    </row>
    <row r="19" spans="1:25" x14ac:dyDescent="0.2">
      <c r="A19" t="s">
        <v>25</v>
      </c>
      <c r="B19" t="s">
        <v>26</v>
      </c>
      <c r="C19">
        <v>34596</v>
      </c>
      <c r="D19">
        <v>15004</v>
      </c>
      <c r="E19">
        <v>43.37</v>
      </c>
      <c r="F19">
        <v>19592</v>
      </c>
      <c r="G19">
        <v>56.63</v>
      </c>
      <c r="H19">
        <v>4616</v>
      </c>
      <c r="I19">
        <v>23.56</v>
      </c>
      <c r="J19" t="s">
        <v>27</v>
      </c>
      <c r="K19">
        <v>870</v>
      </c>
      <c r="L19" t="s">
        <v>28</v>
      </c>
      <c r="M19">
        <v>4</v>
      </c>
      <c r="N19">
        <v>3</v>
      </c>
      <c r="O19">
        <v>20537</v>
      </c>
      <c r="P19">
        <v>945</v>
      </c>
      <c r="Q19">
        <v>25</v>
      </c>
      <c r="R19">
        <v>5980</v>
      </c>
      <c r="S19">
        <v>843</v>
      </c>
      <c r="T19">
        <v>3780</v>
      </c>
      <c r="U19">
        <v>0.87169300000000005</v>
      </c>
      <c r="V19">
        <v>0.95088600000000001</v>
      </c>
      <c r="W19">
        <v>4.1063000000000002E-2</v>
      </c>
      <c r="X19">
        <v>6.3344999999999999E-2</v>
      </c>
      <c r="Y19">
        <v>1.9274150000000001</v>
      </c>
    </row>
    <row r="20" spans="1:25" x14ac:dyDescent="0.2">
      <c r="A20" t="s">
        <v>25</v>
      </c>
      <c r="B20" t="s">
        <v>26</v>
      </c>
      <c r="C20">
        <v>34596</v>
      </c>
      <c r="D20">
        <v>15004</v>
      </c>
      <c r="E20">
        <v>43.37</v>
      </c>
      <c r="F20">
        <v>19592</v>
      </c>
      <c r="G20">
        <v>56.63</v>
      </c>
      <c r="H20">
        <v>4616</v>
      </c>
      <c r="I20">
        <v>23.56</v>
      </c>
      <c r="J20" t="s">
        <v>27</v>
      </c>
      <c r="K20">
        <v>870</v>
      </c>
      <c r="L20" t="s">
        <v>28</v>
      </c>
      <c r="M20">
        <v>4</v>
      </c>
      <c r="N20">
        <v>4</v>
      </c>
      <c r="O20">
        <v>20338</v>
      </c>
      <c r="P20">
        <v>746</v>
      </c>
      <c r="Q20">
        <v>25</v>
      </c>
      <c r="R20">
        <v>5980</v>
      </c>
      <c r="S20">
        <v>716</v>
      </c>
      <c r="T20">
        <v>3780</v>
      </c>
      <c r="U20">
        <v>0.73226100000000005</v>
      </c>
      <c r="V20">
        <v>0.97221500000000005</v>
      </c>
      <c r="W20">
        <v>4.1454999999999999E-2</v>
      </c>
      <c r="X20">
        <v>6.6386000000000001E-2</v>
      </c>
      <c r="Y20">
        <v>1.812513</v>
      </c>
    </row>
    <row r="21" spans="1:25" x14ac:dyDescent="0.2">
      <c r="A21" t="s">
        <v>25</v>
      </c>
      <c r="B21" t="s">
        <v>26</v>
      </c>
      <c r="C21">
        <v>34596</v>
      </c>
      <c r="D21">
        <v>15004</v>
      </c>
      <c r="E21">
        <v>43.37</v>
      </c>
      <c r="F21">
        <v>19592</v>
      </c>
      <c r="G21">
        <v>56.63</v>
      </c>
      <c r="H21">
        <v>4616</v>
      </c>
      <c r="I21">
        <v>23.56</v>
      </c>
      <c r="J21" t="s">
        <v>27</v>
      </c>
      <c r="K21">
        <v>870</v>
      </c>
      <c r="L21" t="s">
        <v>28</v>
      </c>
      <c r="M21">
        <v>4</v>
      </c>
      <c r="N21">
        <v>4</v>
      </c>
      <c r="O21">
        <v>19850</v>
      </c>
      <c r="P21">
        <v>258</v>
      </c>
      <c r="Q21">
        <v>24</v>
      </c>
      <c r="R21">
        <v>5800</v>
      </c>
      <c r="S21">
        <v>474</v>
      </c>
      <c r="T21">
        <v>3600</v>
      </c>
      <c r="U21">
        <v>0.46372400000000003</v>
      </c>
      <c r="V21">
        <v>0.94414799999999999</v>
      </c>
      <c r="W21">
        <v>4.3632999999999998E-2</v>
      </c>
      <c r="X21">
        <v>0.137542</v>
      </c>
      <c r="Y21">
        <v>1.5893919999999999</v>
      </c>
    </row>
    <row r="22" spans="1:25" x14ac:dyDescent="0.2">
      <c r="A22" t="s">
        <v>25</v>
      </c>
      <c r="B22" t="s">
        <v>26</v>
      </c>
      <c r="C22">
        <v>34596</v>
      </c>
      <c r="D22">
        <v>15004</v>
      </c>
      <c r="E22">
        <v>43.37</v>
      </c>
      <c r="F22">
        <v>19592</v>
      </c>
      <c r="G22">
        <v>56.63</v>
      </c>
      <c r="H22">
        <v>4616</v>
      </c>
      <c r="I22">
        <v>23.56</v>
      </c>
      <c r="J22" t="s">
        <v>27</v>
      </c>
      <c r="K22">
        <v>870</v>
      </c>
      <c r="L22" t="s">
        <v>28</v>
      </c>
      <c r="M22">
        <v>4</v>
      </c>
      <c r="N22">
        <v>4</v>
      </c>
      <c r="O22">
        <v>19948</v>
      </c>
      <c r="P22">
        <v>356</v>
      </c>
      <c r="Q22">
        <v>24</v>
      </c>
      <c r="R22">
        <v>5800</v>
      </c>
      <c r="S22">
        <v>528</v>
      </c>
      <c r="T22">
        <v>3600</v>
      </c>
      <c r="U22">
        <v>1.3642780000000001</v>
      </c>
      <c r="V22">
        <v>0.94256300000000004</v>
      </c>
      <c r="W22">
        <v>3.6949999999999997E-2</v>
      </c>
      <c r="X22">
        <v>6.4058000000000004E-2</v>
      </c>
      <c r="Y22">
        <v>2.4081670000000002</v>
      </c>
    </row>
    <row r="23" spans="1:25" x14ac:dyDescent="0.2">
      <c r="A23" t="s">
        <v>25</v>
      </c>
      <c r="B23" t="s">
        <v>26</v>
      </c>
      <c r="C23">
        <v>34596</v>
      </c>
      <c r="D23">
        <v>15004</v>
      </c>
      <c r="E23">
        <v>43.37</v>
      </c>
      <c r="F23">
        <v>19592</v>
      </c>
      <c r="G23">
        <v>56.63</v>
      </c>
      <c r="H23">
        <v>4616</v>
      </c>
      <c r="I23">
        <v>23.56</v>
      </c>
      <c r="J23" t="s">
        <v>27</v>
      </c>
      <c r="K23">
        <v>870</v>
      </c>
      <c r="L23" t="s">
        <v>28</v>
      </c>
      <c r="M23">
        <v>4</v>
      </c>
      <c r="N23">
        <v>4</v>
      </c>
      <c r="O23">
        <v>20162</v>
      </c>
      <c r="P23">
        <v>570</v>
      </c>
      <c r="Q23">
        <v>25</v>
      </c>
      <c r="R23">
        <v>5976</v>
      </c>
      <c r="S23">
        <v>419</v>
      </c>
      <c r="T23">
        <v>3780</v>
      </c>
      <c r="U23">
        <v>0.95960199999999996</v>
      </c>
      <c r="V23">
        <v>0.94836500000000001</v>
      </c>
      <c r="W23">
        <v>3.7990000000000003E-2</v>
      </c>
      <c r="X23">
        <v>0.11087</v>
      </c>
      <c r="Y23">
        <v>2.0570040000000001</v>
      </c>
    </row>
    <row r="24" spans="1:25" x14ac:dyDescent="0.2">
      <c r="A24" t="s">
        <v>25</v>
      </c>
      <c r="B24" t="s">
        <v>26</v>
      </c>
      <c r="C24">
        <v>34596</v>
      </c>
      <c r="D24">
        <v>15004</v>
      </c>
      <c r="E24">
        <v>43.37</v>
      </c>
      <c r="F24">
        <v>19592</v>
      </c>
      <c r="G24">
        <v>56.63</v>
      </c>
      <c r="H24">
        <v>4616</v>
      </c>
      <c r="I24">
        <v>23.56</v>
      </c>
      <c r="J24" t="s">
        <v>27</v>
      </c>
      <c r="K24">
        <v>870</v>
      </c>
      <c r="L24" t="s">
        <v>28</v>
      </c>
      <c r="M24">
        <v>4</v>
      </c>
      <c r="N24">
        <v>4</v>
      </c>
      <c r="O24">
        <v>20027</v>
      </c>
      <c r="P24">
        <v>435</v>
      </c>
      <c r="Q24">
        <v>24</v>
      </c>
      <c r="R24">
        <v>5800</v>
      </c>
      <c r="S24">
        <v>567</v>
      </c>
      <c r="T24">
        <v>3600</v>
      </c>
      <c r="U24">
        <v>0.52354900000000004</v>
      </c>
      <c r="V24">
        <v>1.0914489999999999</v>
      </c>
      <c r="W24">
        <v>4.0058000000000003E-2</v>
      </c>
      <c r="X24">
        <v>0.149677</v>
      </c>
      <c r="Y24">
        <v>1.8049850000000001</v>
      </c>
    </row>
    <row r="25" spans="1:25" x14ac:dyDescent="0.2">
      <c r="A25" t="s">
        <v>25</v>
      </c>
      <c r="B25" t="s">
        <v>26</v>
      </c>
      <c r="C25">
        <v>34596</v>
      </c>
      <c r="D25">
        <v>15004</v>
      </c>
      <c r="E25">
        <v>43.37</v>
      </c>
      <c r="F25">
        <v>19592</v>
      </c>
      <c r="G25">
        <v>56.63</v>
      </c>
      <c r="H25">
        <v>4616</v>
      </c>
      <c r="I25">
        <v>23.56</v>
      </c>
      <c r="J25" t="s">
        <v>27</v>
      </c>
      <c r="K25">
        <v>870</v>
      </c>
      <c r="L25" t="s">
        <v>28</v>
      </c>
      <c r="M25">
        <v>4</v>
      </c>
      <c r="N25">
        <v>3</v>
      </c>
      <c r="O25">
        <v>20599</v>
      </c>
      <c r="P25">
        <v>1007</v>
      </c>
      <c r="Q25">
        <v>25</v>
      </c>
      <c r="R25">
        <v>5980</v>
      </c>
      <c r="S25">
        <v>590</v>
      </c>
      <c r="T25">
        <v>3780</v>
      </c>
      <c r="U25">
        <v>0.69187399999999999</v>
      </c>
      <c r="V25">
        <v>1.2634510000000001</v>
      </c>
      <c r="W25">
        <v>3.8108999999999997E-2</v>
      </c>
      <c r="X25">
        <v>0.13325600000000001</v>
      </c>
      <c r="Y25">
        <v>2.1269589999999998</v>
      </c>
    </row>
    <row r="26" spans="1:25" x14ac:dyDescent="0.2">
      <c r="A26" t="s">
        <v>25</v>
      </c>
      <c r="B26" t="s">
        <v>26</v>
      </c>
      <c r="C26">
        <v>34596</v>
      </c>
      <c r="D26">
        <v>15004</v>
      </c>
      <c r="E26">
        <v>43.37</v>
      </c>
      <c r="F26">
        <v>19592</v>
      </c>
      <c r="G26">
        <v>56.63</v>
      </c>
      <c r="H26">
        <v>4616</v>
      </c>
      <c r="I26">
        <v>23.56</v>
      </c>
      <c r="J26" t="s">
        <v>27</v>
      </c>
      <c r="K26">
        <v>870</v>
      </c>
      <c r="L26" t="s">
        <v>28</v>
      </c>
      <c r="M26">
        <v>4</v>
      </c>
      <c r="N26">
        <v>4</v>
      </c>
      <c r="O26">
        <v>20132</v>
      </c>
      <c r="P26">
        <v>540</v>
      </c>
      <c r="Q26">
        <v>24</v>
      </c>
      <c r="R26">
        <v>5800</v>
      </c>
      <c r="S26">
        <v>469</v>
      </c>
      <c r="T26">
        <v>3600</v>
      </c>
      <c r="U26">
        <v>0.62867499999999998</v>
      </c>
      <c r="V26">
        <v>1.248283</v>
      </c>
      <c r="W26">
        <v>3.7137000000000003E-2</v>
      </c>
      <c r="X26">
        <v>0.18931600000000001</v>
      </c>
      <c r="Y26">
        <v>2.1036389999999998</v>
      </c>
    </row>
    <row r="27" spans="1:25" x14ac:dyDescent="0.2">
      <c r="A27" t="s">
        <v>25</v>
      </c>
      <c r="B27" t="s">
        <v>26</v>
      </c>
      <c r="C27">
        <v>34596</v>
      </c>
      <c r="D27">
        <v>15004</v>
      </c>
      <c r="E27">
        <v>43.37</v>
      </c>
      <c r="F27">
        <v>19592</v>
      </c>
      <c r="G27">
        <v>56.63</v>
      </c>
      <c r="H27">
        <v>4616</v>
      </c>
      <c r="I27">
        <v>23.56</v>
      </c>
      <c r="J27" t="s">
        <v>27</v>
      </c>
      <c r="K27">
        <v>870</v>
      </c>
      <c r="L27" t="s">
        <v>28</v>
      </c>
      <c r="M27">
        <v>4</v>
      </c>
      <c r="N27">
        <v>4</v>
      </c>
      <c r="O27">
        <v>20069</v>
      </c>
      <c r="P27">
        <v>477</v>
      </c>
      <c r="Q27">
        <v>24</v>
      </c>
      <c r="R27">
        <v>5800</v>
      </c>
      <c r="S27">
        <v>486</v>
      </c>
      <c r="T27">
        <v>3600</v>
      </c>
      <c r="U27">
        <v>0.522679</v>
      </c>
      <c r="V27">
        <v>1.1856059999999999</v>
      </c>
      <c r="W27">
        <v>3.7539000000000003E-2</v>
      </c>
      <c r="X27">
        <v>0.116688</v>
      </c>
      <c r="Y27">
        <v>1.862881</v>
      </c>
    </row>
    <row r="28" spans="1:25" x14ac:dyDescent="0.2">
      <c r="A28" t="s">
        <v>25</v>
      </c>
      <c r="B28" t="s">
        <v>26</v>
      </c>
      <c r="C28">
        <v>34596</v>
      </c>
      <c r="D28">
        <v>15004</v>
      </c>
      <c r="E28">
        <v>43.37</v>
      </c>
      <c r="F28">
        <v>19592</v>
      </c>
      <c r="G28">
        <v>56.63</v>
      </c>
      <c r="H28">
        <v>4616</v>
      </c>
      <c r="I28">
        <v>23.56</v>
      </c>
      <c r="J28" t="s">
        <v>27</v>
      </c>
      <c r="K28">
        <v>870</v>
      </c>
      <c r="L28" t="s">
        <v>28</v>
      </c>
      <c r="M28">
        <v>4</v>
      </c>
      <c r="N28">
        <v>4</v>
      </c>
      <c r="O28">
        <v>19916</v>
      </c>
      <c r="P28">
        <v>324</v>
      </c>
      <c r="Q28">
        <v>24</v>
      </c>
      <c r="R28">
        <v>5800</v>
      </c>
      <c r="S28">
        <v>421</v>
      </c>
      <c r="T28">
        <v>3600</v>
      </c>
      <c r="U28">
        <v>0.73428599999999999</v>
      </c>
      <c r="V28">
        <v>1.0002249999999999</v>
      </c>
      <c r="W28">
        <v>3.4617000000000002E-2</v>
      </c>
      <c r="X28">
        <v>7.2720999999999994E-2</v>
      </c>
      <c r="Y28">
        <v>1.8420510000000001</v>
      </c>
    </row>
    <row r="29" spans="1:25" x14ac:dyDescent="0.2">
      <c r="A29" t="s">
        <v>25</v>
      </c>
      <c r="B29" t="s">
        <v>26</v>
      </c>
      <c r="C29">
        <v>34596</v>
      </c>
      <c r="D29">
        <v>15004</v>
      </c>
      <c r="E29">
        <v>43.37</v>
      </c>
      <c r="F29">
        <v>19592</v>
      </c>
      <c r="G29">
        <v>56.63</v>
      </c>
      <c r="H29">
        <v>4616</v>
      </c>
      <c r="I29">
        <v>23.56</v>
      </c>
      <c r="J29" t="s">
        <v>27</v>
      </c>
      <c r="K29">
        <v>870</v>
      </c>
      <c r="L29" t="s">
        <v>28</v>
      </c>
      <c r="M29">
        <v>4</v>
      </c>
      <c r="N29">
        <v>3</v>
      </c>
      <c r="O29">
        <v>20367</v>
      </c>
      <c r="P29">
        <v>775</v>
      </c>
      <c r="Q29">
        <v>25</v>
      </c>
      <c r="R29">
        <v>5980</v>
      </c>
      <c r="S29">
        <v>820</v>
      </c>
      <c r="T29">
        <v>3780</v>
      </c>
      <c r="U29">
        <v>0.54933100000000001</v>
      </c>
      <c r="V29">
        <v>0.96281899999999998</v>
      </c>
      <c r="W29">
        <v>3.4028999999999997E-2</v>
      </c>
      <c r="X29">
        <v>7.1287000000000003E-2</v>
      </c>
      <c r="Y29">
        <v>1.617651</v>
      </c>
    </row>
    <row r="30" spans="1:25" x14ac:dyDescent="0.2">
      <c r="A30" t="s">
        <v>25</v>
      </c>
      <c r="B30" t="s">
        <v>26</v>
      </c>
      <c r="C30">
        <v>34596</v>
      </c>
      <c r="D30">
        <v>15004</v>
      </c>
      <c r="E30">
        <v>43.37</v>
      </c>
      <c r="F30">
        <v>19592</v>
      </c>
      <c r="G30">
        <v>56.63</v>
      </c>
      <c r="H30">
        <v>4616</v>
      </c>
      <c r="I30">
        <v>23.56</v>
      </c>
      <c r="J30" t="s">
        <v>27</v>
      </c>
      <c r="K30">
        <v>870</v>
      </c>
      <c r="L30" t="s">
        <v>28</v>
      </c>
      <c r="M30">
        <v>4</v>
      </c>
      <c r="N30">
        <v>4</v>
      </c>
      <c r="O30">
        <v>19995</v>
      </c>
      <c r="P30">
        <v>403</v>
      </c>
      <c r="Q30">
        <v>24</v>
      </c>
      <c r="R30">
        <v>5800</v>
      </c>
      <c r="S30">
        <v>540</v>
      </c>
      <c r="T30">
        <v>3600</v>
      </c>
      <c r="U30">
        <v>0.58442499999999997</v>
      </c>
      <c r="V30">
        <v>1.0826469999999999</v>
      </c>
      <c r="W30">
        <v>4.1207000000000001E-2</v>
      </c>
      <c r="X30">
        <v>9.8766000000000007E-2</v>
      </c>
      <c r="Y30">
        <v>1.8073109999999999</v>
      </c>
    </row>
    <row r="31" spans="1:25" x14ac:dyDescent="0.2">
      <c r="A31" t="s">
        <v>25</v>
      </c>
      <c r="B31" t="s">
        <v>26</v>
      </c>
      <c r="C31">
        <v>34596</v>
      </c>
      <c r="D31">
        <v>15004</v>
      </c>
      <c r="E31">
        <v>43.37</v>
      </c>
      <c r="F31">
        <v>19592</v>
      </c>
      <c r="G31">
        <v>56.63</v>
      </c>
      <c r="H31">
        <v>4616</v>
      </c>
      <c r="I31">
        <v>23.56</v>
      </c>
      <c r="J31" t="s">
        <v>27</v>
      </c>
      <c r="K31">
        <v>870</v>
      </c>
      <c r="L31" t="s">
        <v>28</v>
      </c>
      <c r="M31">
        <v>4</v>
      </c>
      <c r="N31">
        <v>4</v>
      </c>
      <c r="O31">
        <v>20240</v>
      </c>
      <c r="P31">
        <v>648</v>
      </c>
      <c r="Q31">
        <v>25</v>
      </c>
      <c r="R31">
        <v>5976</v>
      </c>
      <c r="S31">
        <v>518</v>
      </c>
      <c r="T31">
        <v>3780</v>
      </c>
      <c r="U31">
        <v>0.49068800000000001</v>
      </c>
      <c r="V31">
        <v>1.2421679999999999</v>
      </c>
      <c r="W31">
        <v>3.7678000000000003E-2</v>
      </c>
      <c r="X31">
        <v>5.8276000000000001E-2</v>
      </c>
      <c r="Y31">
        <v>1.829172</v>
      </c>
    </row>
    <row r="32" spans="1:25" x14ac:dyDescent="0.2">
      <c r="A32" t="s">
        <v>25</v>
      </c>
      <c r="B32" t="s">
        <v>26</v>
      </c>
      <c r="C32">
        <v>34596</v>
      </c>
      <c r="D32">
        <v>15004</v>
      </c>
      <c r="E32">
        <v>43.37</v>
      </c>
      <c r="F32">
        <v>19592</v>
      </c>
      <c r="G32">
        <v>56.63</v>
      </c>
      <c r="H32">
        <v>4616</v>
      </c>
      <c r="I32">
        <v>23.56</v>
      </c>
      <c r="J32" t="s">
        <v>27</v>
      </c>
      <c r="K32">
        <v>870</v>
      </c>
      <c r="L32" t="s">
        <v>28</v>
      </c>
      <c r="M32">
        <v>4</v>
      </c>
      <c r="N32">
        <v>4</v>
      </c>
      <c r="O32">
        <v>19954</v>
      </c>
      <c r="P32">
        <v>362</v>
      </c>
      <c r="Q32">
        <v>24</v>
      </c>
      <c r="R32">
        <v>5800</v>
      </c>
      <c r="S32">
        <v>384</v>
      </c>
      <c r="T32">
        <v>3600</v>
      </c>
      <c r="U32">
        <v>2.058824</v>
      </c>
      <c r="V32">
        <v>1.1150260000000001</v>
      </c>
      <c r="W32">
        <v>3.7179999999999998E-2</v>
      </c>
      <c r="X32">
        <v>9.1246999999999995E-2</v>
      </c>
      <c r="Y32">
        <v>3.3025579999999999</v>
      </c>
    </row>
    <row r="33" spans="1:25" x14ac:dyDescent="0.2">
      <c r="A33" t="s">
        <v>25</v>
      </c>
      <c r="B33" t="s">
        <v>26</v>
      </c>
      <c r="C33">
        <v>34596</v>
      </c>
      <c r="D33">
        <v>15004</v>
      </c>
      <c r="E33">
        <v>43.37</v>
      </c>
      <c r="F33">
        <v>19592</v>
      </c>
      <c r="G33">
        <v>56.63</v>
      </c>
      <c r="H33">
        <v>4616</v>
      </c>
      <c r="I33">
        <v>23.56</v>
      </c>
      <c r="J33" t="s">
        <v>27</v>
      </c>
      <c r="K33">
        <v>870</v>
      </c>
      <c r="L33" t="s">
        <v>28</v>
      </c>
      <c r="M33">
        <v>4</v>
      </c>
      <c r="N33">
        <v>4</v>
      </c>
      <c r="O33">
        <v>19975</v>
      </c>
      <c r="P33">
        <v>383</v>
      </c>
      <c r="Q33">
        <v>24</v>
      </c>
      <c r="R33">
        <v>5800</v>
      </c>
      <c r="S33">
        <v>531</v>
      </c>
      <c r="T33">
        <v>3600</v>
      </c>
      <c r="U33">
        <v>0.80379800000000001</v>
      </c>
      <c r="V33">
        <v>1.3749880000000001</v>
      </c>
      <c r="W33">
        <v>4.3256000000000003E-2</v>
      </c>
      <c r="X33">
        <v>7.8080999999999998E-2</v>
      </c>
      <c r="Y33">
        <v>2.3005740000000001</v>
      </c>
    </row>
    <row r="34" spans="1:25" x14ac:dyDescent="0.2">
      <c r="A34" t="s">
        <v>25</v>
      </c>
      <c r="B34" t="s">
        <v>26</v>
      </c>
      <c r="C34">
        <v>34596</v>
      </c>
      <c r="D34">
        <v>15004</v>
      </c>
      <c r="E34">
        <v>43.37</v>
      </c>
      <c r="F34">
        <v>19592</v>
      </c>
      <c r="G34">
        <v>56.63</v>
      </c>
      <c r="H34">
        <v>4616</v>
      </c>
      <c r="I34">
        <v>23.56</v>
      </c>
      <c r="J34" t="s">
        <v>27</v>
      </c>
      <c r="K34">
        <v>870</v>
      </c>
      <c r="L34" t="s">
        <v>28</v>
      </c>
      <c r="M34">
        <v>4</v>
      </c>
      <c r="N34">
        <v>4</v>
      </c>
      <c r="O34">
        <v>20215</v>
      </c>
      <c r="P34">
        <v>623</v>
      </c>
      <c r="Q34">
        <v>25</v>
      </c>
      <c r="R34">
        <v>5980</v>
      </c>
      <c r="S34">
        <v>728</v>
      </c>
      <c r="T34">
        <v>3780</v>
      </c>
      <c r="U34">
        <v>0.56293400000000005</v>
      </c>
      <c r="V34">
        <v>1.131526</v>
      </c>
      <c r="W34">
        <v>4.1620999999999998E-2</v>
      </c>
      <c r="X34">
        <v>7.4255000000000002E-2</v>
      </c>
      <c r="Y34">
        <v>1.8105370000000001</v>
      </c>
    </row>
    <row r="35" spans="1:25" x14ac:dyDescent="0.2">
      <c r="A35" t="s">
        <v>25</v>
      </c>
      <c r="B35" t="s">
        <v>26</v>
      </c>
      <c r="C35">
        <v>34596</v>
      </c>
      <c r="D35">
        <v>15004</v>
      </c>
      <c r="E35">
        <v>43.37</v>
      </c>
      <c r="F35">
        <v>19592</v>
      </c>
      <c r="G35">
        <v>56.63</v>
      </c>
      <c r="H35">
        <v>4616</v>
      </c>
      <c r="I35">
        <v>23.56</v>
      </c>
      <c r="J35" t="s">
        <v>27</v>
      </c>
      <c r="K35">
        <v>870</v>
      </c>
      <c r="L35" t="s">
        <v>28</v>
      </c>
      <c r="M35">
        <v>4</v>
      </c>
      <c r="N35">
        <v>4</v>
      </c>
      <c r="O35">
        <v>20016</v>
      </c>
      <c r="P35">
        <v>424</v>
      </c>
      <c r="Q35">
        <v>24</v>
      </c>
      <c r="R35">
        <v>5800</v>
      </c>
      <c r="S35">
        <v>382</v>
      </c>
      <c r="T35">
        <v>3600</v>
      </c>
      <c r="U35">
        <v>0.92816500000000002</v>
      </c>
      <c r="V35">
        <v>1.0262789999999999</v>
      </c>
      <c r="W35">
        <v>3.4176999999999999E-2</v>
      </c>
      <c r="X35">
        <v>2.8319E-2</v>
      </c>
      <c r="Y35">
        <v>2.017191</v>
      </c>
    </row>
    <row r="36" spans="1:25" x14ac:dyDescent="0.2">
      <c r="A36" t="s">
        <v>25</v>
      </c>
      <c r="B36" t="s">
        <v>26</v>
      </c>
      <c r="C36">
        <v>34596</v>
      </c>
      <c r="D36">
        <v>15004</v>
      </c>
      <c r="E36">
        <v>43.37</v>
      </c>
      <c r="F36">
        <v>19592</v>
      </c>
      <c r="G36">
        <v>56.63</v>
      </c>
      <c r="H36">
        <v>4616</v>
      </c>
      <c r="I36">
        <v>23.56</v>
      </c>
      <c r="J36" t="s">
        <v>27</v>
      </c>
      <c r="K36">
        <v>870</v>
      </c>
      <c r="L36" t="s">
        <v>28</v>
      </c>
      <c r="M36">
        <v>4</v>
      </c>
      <c r="N36">
        <v>4</v>
      </c>
      <c r="O36">
        <v>20726</v>
      </c>
      <c r="P36">
        <v>1134</v>
      </c>
      <c r="Q36">
        <v>25</v>
      </c>
      <c r="R36">
        <v>5980</v>
      </c>
      <c r="S36">
        <v>473</v>
      </c>
      <c r="T36">
        <v>3780</v>
      </c>
      <c r="U36">
        <v>0.74317200000000005</v>
      </c>
      <c r="V36">
        <v>0.96570999999999996</v>
      </c>
      <c r="W36">
        <v>4.5164000000000003E-2</v>
      </c>
      <c r="X36">
        <v>3.1267000000000003E-2</v>
      </c>
      <c r="Y36">
        <v>1.7854859999999999</v>
      </c>
    </row>
    <row r="37" spans="1:25" x14ac:dyDescent="0.2">
      <c r="A37" t="s">
        <v>25</v>
      </c>
      <c r="B37" t="s">
        <v>26</v>
      </c>
      <c r="C37">
        <v>34596</v>
      </c>
      <c r="D37">
        <v>15004</v>
      </c>
      <c r="E37">
        <v>43.37</v>
      </c>
      <c r="F37">
        <v>19592</v>
      </c>
      <c r="G37">
        <v>56.63</v>
      </c>
      <c r="H37">
        <v>4616</v>
      </c>
      <c r="I37">
        <v>23.56</v>
      </c>
      <c r="J37" t="s">
        <v>27</v>
      </c>
      <c r="K37">
        <v>870</v>
      </c>
      <c r="L37" t="s">
        <v>28</v>
      </c>
      <c r="M37">
        <v>4</v>
      </c>
      <c r="N37">
        <v>4</v>
      </c>
      <c r="O37">
        <v>21116</v>
      </c>
      <c r="P37">
        <v>1524</v>
      </c>
      <c r="Q37">
        <v>26</v>
      </c>
      <c r="R37">
        <v>5980</v>
      </c>
      <c r="S37">
        <v>740</v>
      </c>
      <c r="T37">
        <v>3960</v>
      </c>
      <c r="U37">
        <v>0.445579</v>
      </c>
      <c r="V37">
        <v>0.95819200000000004</v>
      </c>
      <c r="W37">
        <v>4.6487000000000001E-2</v>
      </c>
      <c r="X37">
        <v>5.9270999999999997E-2</v>
      </c>
      <c r="Y37">
        <v>1.5097149999999999</v>
      </c>
    </row>
    <row r="38" spans="1:25" x14ac:dyDescent="0.2">
      <c r="A38" t="s">
        <v>25</v>
      </c>
      <c r="B38" t="s">
        <v>26</v>
      </c>
      <c r="C38">
        <v>34596</v>
      </c>
      <c r="D38">
        <v>15004</v>
      </c>
      <c r="E38">
        <v>43.37</v>
      </c>
      <c r="F38">
        <v>19592</v>
      </c>
      <c r="G38">
        <v>56.63</v>
      </c>
      <c r="H38">
        <v>4616</v>
      </c>
      <c r="I38">
        <v>23.56</v>
      </c>
      <c r="J38" t="s">
        <v>27</v>
      </c>
      <c r="K38">
        <v>870</v>
      </c>
      <c r="L38" t="s">
        <v>28</v>
      </c>
      <c r="M38">
        <v>4</v>
      </c>
      <c r="N38">
        <v>3</v>
      </c>
      <c r="O38">
        <v>20687</v>
      </c>
      <c r="P38">
        <v>1095</v>
      </c>
      <c r="Q38">
        <v>25</v>
      </c>
      <c r="R38">
        <v>5980</v>
      </c>
      <c r="S38">
        <v>713</v>
      </c>
      <c r="T38">
        <v>3780</v>
      </c>
      <c r="U38">
        <v>1.1913560000000001</v>
      </c>
      <c r="V38">
        <v>1.0566930000000001</v>
      </c>
      <c r="W38">
        <v>3.7442999999999997E-2</v>
      </c>
      <c r="X38">
        <v>0.13428000000000001</v>
      </c>
      <c r="Y38">
        <v>2.4199459999999999</v>
      </c>
    </row>
    <row r="39" spans="1:25" x14ac:dyDescent="0.2">
      <c r="A39" t="s">
        <v>25</v>
      </c>
      <c r="B39" t="s">
        <v>26</v>
      </c>
      <c r="C39">
        <v>34596</v>
      </c>
      <c r="D39">
        <v>15004</v>
      </c>
      <c r="E39">
        <v>43.37</v>
      </c>
      <c r="F39">
        <v>19592</v>
      </c>
      <c r="G39">
        <v>56.63</v>
      </c>
      <c r="H39">
        <v>4616</v>
      </c>
      <c r="I39">
        <v>23.56</v>
      </c>
      <c r="J39" t="s">
        <v>27</v>
      </c>
      <c r="K39">
        <v>870</v>
      </c>
      <c r="L39" t="s">
        <v>28</v>
      </c>
      <c r="M39">
        <v>4</v>
      </c>
      <c r="N39">
        <v>4</v>
      </c>
      <c r="O39">
        <v>20260</v>
      </c>
      <c r="P39">
        <v>668</v>
      </c>
      <c r="Q39">
        <v>25</v>
      </c>
      <c r="R39">
        <v>5980</v>
      </c>
      <c r="S39">
        <v>571</v>
      </c>
      <c r="T39">
        <v>3780</v>
      </c>
      <c r="U39">
        <v>1.489787</v>
      </c>
      <c r="V39">
        <v>1.1995979999999999</v>
      </c>
      <c r="W39">
        <v>4.1405999999999998E-2</v>
      </c>
      <c r="X39">
        <v>8.2465999999999998E-2</v>
      </c>
      <c r="Y39">
        <v>2.8134389999999998</v>
      </c>
    </row>
    <row r="40" spans="1:25" x14ac:dyDescent="0.2">
      <c r="A40" t="s">
        <v>25</v>
      </c>
      <c r="B40" t="s">
        <v>26</v>
      </c>
      <c r="C40">
        <v>34596</v>
      </c>
      <c r="D40">
        <v>15004</v>
      </c>
      <c r="E40">
        <v>43.37</v>
      </c>
      <c r="F40">
        <v>19592</v>
      </c>
      <c r="G40">
        <v>56.63</v>
      </c>
      <c r="H40">
        <v>4616</v>
      </c>
      <c r="I40">
        <v>23.56</v>
      </c>
      <c r="J40" t="s">
        <v>27</v>
      </c>
      <c r="K40">
        <v>870</v>
      </c>
      <c r="L40" t="s">
        <v>28</v>
      </c>
      <c r="M40">
        <v>4</v>
      </c>
      <c r="N40">
        <v>4</v>
      </c>
      <c r="O40">
        <v>20118</v>
      </c>
      <c r="P40">
        <v>526</v>
      </c>
      <c r="Q40">
        <v>24</v>
      </c>
      <c r="R40">
        <v>5800</v>
      </c>
      <c r="S40">
        <v>639</v>
      </c>
      <c r="T40">
        <v>3600</v>
      </c>
      <c r="U40">
        <v>0.70089199999999996</v>
      </c>
      <c r="V40">
        <v>1.021971</v>
      </c>
      <c r="W40">
        <v>4.1889000000000003E-2</v>
      </c>
      <c r="X40">
        <v>0.14025599999999999</v>
      </c>
      <c r="Y40">
        <v>1.905186</v>
      </c>
    </row>
    <row r="41" spans="1:25" x14ac:dyDescent="0.2">
      <c r="A41" t="s">
        <v>25</v>
      </c>
      <c r="B41" t="s">
        <v>26</v>
      </c>
      <c r="C41">
        <v>34596</v>
      </c>
      <c r="D41">
        <v>15004</v>
      </c>
      <c r="E41">
        <v>43.37</v>
      </c>
      <c r="F41">
        <v>19592</v>
      </c>
      <c r="G41">
        <v>56.63</v>
      </c>
      <c r="H41">
        <v>4616</v>
      </c>
      <c r="I41">
        <v>23.56</v>
      </c>
      <c r="J41" t="s">
        <v>27</v>
      </c>
      <c r="K41">
        <v>870</v>
      </c>
      <c r="L41" t="s">
        <v>28</v>
      </c>
      <c r="M41">
        <v>4</v>
      </c>
      <c r="N41">
        <v>4</v>
      </c>
      <c r="O41">
        <v>19898</v>
      </c>
      <c r="P41">
        <v>306</v>
      </c>
      <c r="Q41">
        <v>24</v>
      </c>
      <c r="R41">
        <v>5800</v>
      </c>
      <c r="S41">
        <v>548</v>
      </c>
      <c r="T41">
        <v>3600</v>
      </c>
      <c r="U41">
        <v>0.69582999999999995</v>
      </c>
      <c r="V41">
        <v>0.98138199999999998</v>
      </c>
      <c r="W41">
        <v>4.0558999999999998E-2</v>
      </c>
      <c r="X41">
        <v>7.2832999999999995E-2</v>
      </c>
      <c r="Y41">
        <v>1.7908470000000001</v>
      </c>
    </row>
    <row r="42" spans="1:25" x14ac:dyDescent="0.2">
      <c r="A42" t="s">
        <v>25</v>
      </c>
      <c r="B42" t="s">
        <v>26</v>
      </c>
      <c r="C42">
        <v>34596</v>
      </c>
      <c r="D42">
        <v>15004</v>
      </c>
      <c r="E42">
        <v>43.37</v>
      </c>
      <c r="F42">
        <v>19592</v>
      </c>
      <c r="G42">
        <v>56.63</v>
      </c>
      <c r="H42">
        <v>4616</v>
      </c>
      <c r="I42">
        <v>23.56</v>
      </c>
      <c r="J42" t="s">
        <v>27</v>
      </c>
      <c r="K42">
        <v>870</v>
      </c>
      <c r="L42" t="s">
        <v>28</v>
      </c>
      <c r="M42">
        <v>4</v>
      </c>
      <c r="N42">
        <v>4</v>
      </c>
      <c r="O42">
        <v>20183</v>
      </c>
      <c r="P42">
        <v>591</v>
      </c>
      <c r="Q42">
        <v>24</v>
      </c>
      <c r="R42">
        <v>5800</v>
      </c>
      <c r="S42">
        <v>410</v>
      </c>
      <c r="T42">
        <v>3600</v>
      </c>
      <c r="U42">
        <v>0.78533600000000003</v>
      </c>
      <c r="V42">
        <v>0.95419500000000002</v>
      </c>
      <c r="W42">
        <v>4.0279000000000002E-2</v>
      </c>
      <c r="X42">
        <v>0.110929</v>
      </c>
      <c r="Y42">
        <v>1.8909609999999999</v>
      </c>
    </row>
    <row r="43" spans="1:25" x14ac:dyDescent="0.2">
      <c r="A43" t="s">
        <v>25</v>
      </c>
      <c r="B43" t="s">
        <v>26</v>
      </c>
      <c r="C43">
        <v>34596</v>
      </c>
      <c r="D43">
        <v>15004</v>
      </c>
      <c r="E43">
        <v>43.37</v>
      </c>
      <c r="F43">
        <v>19592</v>
      </c>
      <c r="G43">
        <v>56.63</v>
      </c>
      <c r="H43">
        <v>4616</v>
      </c>
      <c r="I43">
        <v>23.56</v>
      </c>
      <c r="J43" t="s">
        <v>27</v>
      </c>
      <c r="K43">
        <v>870</v>
      </c>
      <c r="L43" t="s">
        <v>28</v>
      </c>
      <c r="M43">
        <v>4</v>
      </c>
      <c r="N43">
        <v>4</v>
      </c>
      <c r="O43">
        <v>20162</v>
      </c>
      <c r="P43">
        <v>570</v>
      </c>
      <c r="Q43">
        <v>25</v>
      </c>
      <c r="R43">
        <v>5980</v>
      </c>
      <c r="S43">
        <v>555</v>
      </c>
      <c r="T43">
        <v>3780</v>
      </c>
      <c r="U43">
        <v>1.0492319999999999</v>
      </c>
      <c r="V43">
        <v>0.96075100000000002</v>
      </c>
      <c r="W43">
        <v>3.8185999999999998E-2</v>
      </c>
      <c r="X43">
        <v>7.7981999999999996E-2</v>
      </c>
      <c r="Y43">
        <v>2.1263369999999999</v>
      </c>
    </row>
    <row r="44" spans="1:25" x14ac:dyDescent="0.2">
      <c r="A44" t="s">
        <v>25</v>
      </c>
      <c r="B44" t="s">
        <v>26</v>
      </c>
      <c r="C44">
        <v>34596</v>
      </c>
      <c r="D44">
        <v>15004</v>
      </c>
      <c r="E44">
        <v>43.37</v>
      </c>
      <c r="F44">
        <v>19592</v>
      </c>
      <c r="G44">
        <v>56.63</v>
      </c>
      <c r="H44">
        <v>4616</v>
      </c>
      <c r="I44">
        <v>23.56</v>
      </c>
      <c r="J44" t="s">
        <v>27</v>
      </c>
      <c r="K44">
        <v>870</v>
      </c>
      <c r="L44" t="s">
        <v>28</v>
      </c>
      <c r="M44">
        <v>4</v>
      </c>
      <c r="N44">
        <v>3</v>
      </c>
      <c r="O44">
        <v>20332</v>
      </c>
      <c r="P44">
        <v>740</v>
      </c>
      <c r="Q44">
        <v>25</v>
      </c>
      <c r="R44">
        <v>5976</v>
      </c>
      <c r="S44">
        <v>915</v>
      </c>
      <c r="T44">
        <v>3780</v>
      </c>
      <c r="U44">
        <v>1.1769860000000001</v>
      </c>
      <c r="V44">
        <v>1.167389</v>
      </c>
      <c r="W44">
        <v>3.9007E-2</v>
      </c>
      <c r="X44">
        <v>5.4989000000000003E-2</v>
      </c>
      <c r="Y44">
        <v>2.4385500000000002</v>
      </c>
    </row>
    <row r="45" spans="1:25" x14ac:dyDescent="0.2">
      <c r="A45" t="s">
        <v>25</v>
      </c>
      <c r="B45" t="s">
        <v>26</v>
      </c>
      <c r="C45">
        <v>34596</v>
      </c>
      <c r="D45">
        <v>15004</v>
      </c>
      <c r="E45">
        <v>43.37</v>
      </c>
      <c r="F45">
        <v>19592</v>
      </c>
      <c r="G45">
        <v>56.63</v>
      </c>
      <c r="H45">
        <v>4616</v>
      </c>
      <c r="I45">
        <v>23.56</v>
      </c>
      <c r="J45" t="s">
        <v>27</v>
      </c>
      <c r="K45">
        <v>870</v>
      </c>
      <c r="L45" t="s">
        <v>28</v>
      </c>
      <c r="M45">
        <v>4</v>
      </c>
      <c r="N45">
        <v>4</v>
      </c>
      <c r="O45">
        <v>20080</v>
      </c>
      <c r="P45">
        <v>488</v>
      </c>
      <c r="Q45">
        <v>25</v>
      </c>
      <c r="R45">
        <v>5980</v>
      </c>
      <c r="S45">
        <v>576</v>
      </c>
      <c r="T45">
        <v>3780</v>
      </c>
      <c r="U45">
        <v>0.84456799999999999</v>
      </c>
      <c r="V45">
        <v>0.97104500000000005</v>
      </c>
      <c r="W45">
        <v>3.7467E-2</v>
      </c>
      <c r="X45">
        <v>6.3296000000000005E-2</v>
      </c>
      <c r="Y45">
        <v>1.9165639999999999</v>
      </c>
    </row>
    <row r="46" spans="1:25" x14ac:dyDescent="0.2">
      <c r="A46" t="s">
        <v>25</v>
      </c>
      <c r="B46" t="s">
        <v>26</v>
      </c>
      <c r="C46">
        <v>34596</v>
      </c>
      <c r="D46">
        <v>15004</v>
      </c>
      <c r="E46">
        <v>43.37</v>
      </c>
      <c r="F46">
        <v>19592</v>
      </c>
      <c r="G46">
        <v>56.63</v>
      </c>
      <c r="H46">
        <v>4616</v>
      </c>
      <c r="I46">
        <v>23.56</v>
      </c>
      <c r="J46" t="s">
        <v>27</v>
      </c>
      <c r="K46">
        <v>870</v>
      </c>
      <c r="L46" t="s">
        <v>28</v>
      </c>
      <c r="M46">
        <v>4</v>
      </c>
      <c r="N46">
        <v>4</v>
      </c>
      <c r="O46">
        <v>20080</v>
      </c>
      <c r="P46">
        <v>488</v>
      </c>
      <c r="Q46">
        <v>24</v>
      </c>
      <c r="R46">
        <v>5800</v>
      </c>
      <c r="S46">
        <v>425</v>
      </c>
      <c r="T46">
        <v>3600</v>
      </c>
      <c r="U46">
        <v>0.88602000000000003</v>
      </c>
      <c r="V46">
        <v>0.963113</v>
      </c>
      <c r="W46">
        <v>3.6063999999999999E-2</v>
      </c>
      <c r="X46">
        <v>0.123668</v>
      </c>
      <c r="Y46">
        <v>2.0090659999999998</v>
      </c>
    </row>
    <row r="47" spans="1:25" x14ac:dyDescent="0.2">
      <c r="A47" t="s">
        <v>25</v>
      </c>
      <c r="B47" t="s">
        <v>26</v>
      </c>
      <c r="C47">
        <v>34596</v>
      </c>
      <c r="D47">
        <v>15004</v>
      </c>
      <c r="E47">
        <v>43.37</v>
      </c>
      <c r="F47">
        <v>19592</v>
      </c>
      <c r="G47">
        <v>56.63</v>
      </c>
      <c r="H47">
        <v>4616</v>
      </c>
      <c r="I47">
        <v>23.56</v>
      </c>
      <c r="J47" t="s">
        <v>27</v>
      </c>
      <c r="K47">
        <v>870</v>
      </c>
      <c r="L47" t="s">
        <v>28</v>
      </c>
      <c r="M47">
        <v>4</v>
      </c>
      <c r="N47">
        <v>4</v>
      </c>
      <c r="O47">
        <v>19967</v>
      </c>
      <c r="P47">
        <v>375</v>
      </c>
      <c r="Q47">
        <v>24</v>
      </c>
      <c r="R47">
        <v>5800</v>
      </c>
      <c r="S47">
        <v>610</v>
      </c>
      <c r="T47">
        <v>3600</v>
      </c>
      <c r="U47">
        <v>0.94881199999999999</v>
      </c>
      <c r="V47">
        <v>0.95483799999999996</v>
      </c>
      <c r="W47">
        <v>4.0042000000000001E-2</v>
      </c>
      <c r="X47">
        <v>0.19813800000000001</v>
      </c>
      <c r="Y47">
        <v>2.142023</v>
      </c>
    </row>
    <row r="48" spans="1:25" x14ac:dyDescent="0.2">
      <c r="A48" t="s">
        <v>25</v>
      </c>
      <c r="B48" t="s">
        <v>26</v>
      </c>
      <c r="C48">
        <v>34596</v>
      </c>
      <c r="D48">
        <v>15004</v>
      </c>
      <c r="E48">
        <v>43.37</v>
      </c>
      <c r="F48">
        <v>19592</v>
      </c>
      <c r="G48">
        <v>56.63</v>
      </c>
      <c r="H48">
        <v>4616</v>
      </c>
      <c r="I48">
        <v>23.56</v>
      </c>
      <c r="J48" t="s">
        <v>27</v>
      </c>
      <c r="K48">
        <v>870</v>
      </c>
      <c r="L48" t="s">
        <v>28</v>
      </c>
      <c r="M48">
        <v>4</v>
      </c>
      <c r="N48">
        <v>4</v>
      </c>
      <c r="O48">
        <v>19811</v>
      </c>
      <c r="P48">
        <v>219</v>
      </c>
      <c r="Q48">
        <v>24</v>
      </c>
      <c r="R48">
        <v>5800</v>
      </c>
      <c r="S48">
        <v>495</v>
      </c>
      <c r="T48">
        <v>3600</v>
      </c>
      <c r="U48">
        <v>2.0640869999999998</v>
      </c>
      <c r="V48">
        <v>0.95316900000000004</v>
      </c>
      <c r="W48">
        <v>4.3492000000000003E-2</v>
      </c>
      <c r="X48">
        <v>0.114958</v>
      </c>
      <c r="Y48">
        <v>3.1760320000000002</v>
      </c>
    </row>
    <row r="49" spans="1:25" x14ac:dyDescent="0.2">
      <c r="A49" t="s">
        <v>25</v>
      </c>
      <c r="B49" t="s">
        <v>26</v>
      </c>
      <c r="C49">
        <v>34596</v>
      </c>
      <c r="D49">
        <v>15004</v>
      </c>
      <c r="E49">
        <v>43.37</v>
      </c>
      <c r="F49">
        <v>19592</v>
      </c>
      <c r="G49">
        <v>56.63</v>
      </c>
      <c r="H49">
        <v>4616</v>
      </c>
      <c r="I49">
        <v>23.56</v>
      </c>
      <c r="J49" t="s">
        <v>27</v>
      </c>
      <c r="K49">
        <v>870</v>
      </c>
      <c r="L49" t="s">
        <v>28</v>
      </c>
      <c r="M49">
        <v>4</v>
      </c>
      <c r="N49">
        <v>4</v>
      </c>
      <c r="O49">
        <v>19927</v>
      </c>
      <c r="P49">
        <v>335</v>
      </c>
      <c r="Q49">
        <v>24</v>
      </c>
      <c r="R49">
        <v>5800</v>
      </c>
      <c r="S49">
        <v>510</v>
      </c>
      <c r="T49">
        <v>3600</v>
      </c>
      <c r="U49">
        <v>1.2930269999999999</v>
      </c>
      <c r="V49">
        <v>1.077895</v>
      </c>
      <c r="W49">
        <v>4.0622999999999999E-2</v>
      </c>
      <c r="X49">
        <v>0.17744299999999999</v>
      </c>
      <c r="Y49">
        <v>2.5895440000000001</v>
      </c>
    </row>
    <row r="50" spans="1:25" x14ac:dyDescent="0.2">
      <c r="A50" t="s">
        <v>25</v>
      </c>
      <c r="B50" t="s">
        <v>26</v>
      </c>
      <c r="C50">
        <v>34596</v>
      </c>
      <c r="D50">
        <v>15004</v>
      </c>
      <c r="E50">
        <v>43.37</v>
      </c>
      <c r="F50">
        <v>19592</v>
      </c>
      <c r="G50">
        <v>56.63</v>
      </c>
      <c r="H50">
        <v>4616</v>
      </c>
      <c r="I50">
        <v>23.56</v>
      </c>
      <c r="J50" t="s">
        <v>27</v>
      </c>
      <c r="K50">
        <v>870</v>
      </c>
      <c r="L50" t="s">
        <v>28</v>
      </c>
      <c r="M50">
        <v>4</v>
      </c>
      <c r="N50">
        <v>3</v>
      </c>
      <c r="O50">
        <v>20450</v>
      </c>
      <c r="P50">
        <v>858</v>
      </c>
      <c r="Q50">
        <v>25</v>
      </c>
      <c r="R50">
        <v>5980</v>
      </c>
      <c r="S50">
        <v>599</v>
      </c>
      <c r="T50">
        <v>3780</v>
      </c>
      <c r="U50">
        <v>0.83777500000000005</v>
      </c>
      <c r="V50">
        <v>1.2428060000000001</v>
      </c>
      <c r="W50">
        <v>3.3204999999999998E-2</v>
      </c>
      <c r="X50">
        <v>9.5155000000000003E-2</v>
      </c>
      <c r="Y50">
        <v>2.2091669999999999</v>
      </c>
    </row>
    <row r="51" spans="1:25" x14ac:dyDescent="0.2">
      <c r="A51" t="s">
        <v>25</v>
      </c>
      <c r="B51" t="s">
        <v>26</v>
      </c>
      <c r="C51">
        <v>34596</v>
      </c>
      <c r="D51">
        <v>15004</v>
      </c>
      <c r="E51">
        <v>43.37</v>
      </c>
      <c r="F51">
        <v>19592</v>
      </c>
      <c r="G51">
        <v>56.63</v>
      </c>
      <c r="H51">
        <v>4616</v>
      </c>
      <c r="I51">
        <v>23.56</v>
      </c>
      <c r="J51" t="s">
        <v>27</v>
      </c>
      <c r="K51">
        <v>870</v>
      </c>
      <c r="L51" t="s">
        <v>28</v>
      </c>
      <c r="M51">
        <v>4</v>
      </c>
      <c r="N51">
        <v>4</v>
      </c>
      <c r="O51">
        <v>20053</v>
      </c>
      <c r="P51">
        <v>461</v>
      </c>
      <c r="Q51">
        <v>24</v>
      </c>
      <c r="R51">
        <v>5800</v>
      </c>
      <c r="S51">
        <v>540</v>
      </c>
      <c r="T51">
        <v>3600</v>
      </c>
      <c r="U51">
        <v>0.845661</v>
      </c>
      <c r="V51">
        <v>1.0580719999999999</v>
      </c>
      <c r="W51">
        <v>3.5818999999999997E-2</v>
      </c>
      <c r="X51">
        <v>9.6934000000000006E-2</v>
      </c>
      <c r="Y51">
        <v>2.036702</v>
      </c>
    </row>
    <row r="52" spans="1:25" x14ac:dyDescent="0.2">
      <c r="A52" t="s">
        <v>25</v>
      </c>
      <c r="B52" t="s">
        <v>26</v>
      </c>
      <c r="C52">
        <v>34596</v>
      </c>
      <c r="D52">
        <v>15004</v>
      </c>
      <c r="E52">
        <v>43.37</v>
      </c>
      <c r="F52">
        <v>19592</v>
      </c>
      <c r="G52">
        <v>56.63</v>
      </c>
      <c r="H52">
        <v>4616</v>
      </c>
      <c r="I52">
        <v>23.56</v>
      </c>
      <c r="J52" t="s">
        <v>27</v>
      </c>
      <c r="K52">
        <v>870</v>
      </c>
      <c r="L52" t="s">
        <v>28</v>
      </c>
      <c r="M52">
        <v>4</v>
      </c>
      <c r="N52">
        <v>4</v>
      </c>
      <c r="O52">
        <v>20610</v>
      </c>
      <c r="P52">
        <v>1018</v>
      </c>
      <c r="Q52">
        <v>25</v>
      </c>
      <c r="R52">
        <v>5980</v>
      </c>
      <c r="S52">
        <v>638</v>
      </c>
      <c r="T52">
        <v>3780</v>
      </c>
      <c r="U52">
        <v>0.75195599999999996</v>
      </c>
      <c r="V52">
        <v>0.97551299999999996</v>
      </c>
      <c r="W52">
        <v>4.2297000000000001E-2</v>
      </c>
      <c r="X52">
        <v>0.10167900000000001</v>
      </c>
      <c r="Y52">
        <v>1.871731</v>
      </c>
    </row>
    <row r="53" spans="1:25" x14ac:dyDescent="0.2">
      <c r="A53" t="s">
        <v>25</v>
      </c>
      <c r="B53" t="s">
        <v>26</v>
      </c>
      <c r="C53">
        <v>34596</v>
      </c>
      <c r="D53">
        <v>15004</v>
      </c>
      <c r="E53">
        <v>43.37</v>
      </c>
      <c r="F53">
        <v>19592</v>
      </c>
      <c r="G53">
        <v>56.63</v>
      </c>
      <c r="H53">
        <v>4616</v>
      </c>
      <c r="I53">
        <v>23.56</v>
      </c>
      <c r="J53" t="s">
        <v>27</v>
      </c>
      <c r="K53">
        <v>870</v>
      </c>
      <c r="L53" t="s">
        <v>28</v>
      </c>
      <c r="M53">
        <v>4</v>
      </c>
      <c r="N53">
        <v>4</v>
      </c>
      <c r="O53">
        <v>20159</v>
      </c>
      <c r="P53">
        <v>567</v>
      </c>
      <c r="Q53">
        <v>24</v>
      </c>
      <c r="R53">
        <v>5800</v>
      </c>
      <c r="S53">
        <v>426</v>
      </c>
      <c r="T53">
        <v>3600</v>
      </c>
      <c r="U53">
        <v>0.70573799999999998</v>
      </c>
      <c r="V53">
        <v>0.96533000000000002</v>
      </c>
      <c r="W53">
        <v>3.7657000000000003E-2</v>
      </c>
      <c r="X53">
        <v>0.102214</v>
      </c>
      <c r="Y53">
        <v>1.8111269999999999</v>
      </c>
    </row>
    <row r="54" spans="1:25" x14ac:dyDescent="0.2">
      <c r="A54" t="s">
        <v>25</v>
      </c>
      <c r="B54" t="s">
        <v>26</v>
      </c>
      <c r="C54">
        <v>34596</v>
      </c>
      <c r="D54">
        <v>15004</v>
      </c>
      <c r="E54">
        <v>43.37</v>
      </c>
      <c r="F54">
        <v>19592</v>
      </c>
      <c r="G54">
        <v>56.63</v>
      </c>
      <c r="H54">
        <v>4616</v>
      </c>
      <c r="I54">
        <v>23.56</v>
      </c>
      <c r="J54" t="s">
        <v>27</v>
      </c>
      <c r="K54">
        <v>870</v>
      </c>
      <c r="L54" t="s">
        <v>28</v>
      </c>
      <c r="M54">
        <v>4</v>
      </c>
      <c r="N54">
        <v>4</v>
      </c>
      <c r="O54">
        <v>19911</v>
      </c>
      <c r="P54">
        <v>319</v>
      </c>
      <c r="Q54">
        <v>24</v>
      </c>
      <c r="R54">
        <v>5800</v>
      </c>
      <c r="S54">
        <v>670</v>
      </c>
      <c r="T54">
        <v>3600</v>
      </c>
      <c r="U54">
        <v>1.0377369999999999</v>
      </c>
      <c r="V54">
        <v>0.96146900000000002</v>
      </c>
      <c r="W54">
        <v>3.6454E-2</v>
      </c>
      <c r="X54">
        <v>2.4553999999999999E-2</v>
      </c>
      <c r="Y54">
        <v>2.0603899999999999</v>
      </c>
    </row>
    <row r="55" spans="1:25" x14ac:dyDescent="0.2">
      <c r="A55" t="s">
        <v>25</v>
      </c>
      <c r="B55" t="s">
        <v>26</v>
      </c>
      <c r="C55">
        <v>34596</v>
      </c>
      <c r="D55">
        <v>15004</v>
      </c>
      <c r="E55">
        <v>43.37</v>
      </c>
      <c r="F55">
        <v>19592</v>
      </c>
      <c r="G55">
        <v>56.63</v>
      </c>
      <c r="H55">
        <v>4616</v>
      </c>
      <c r="I55">
        <v>23.56</v>
      </c>
      <c r="J55" t="s">
        <v>27</v>
      </c>
      <c r="K55">
        <v>870</v>
      </c>
      <c r="L55" t="s">
        <v>28</v>
      </c>
      <c r="M55">
        <v>4</v>
      </c>
      <c r="N55">
        <v>4</v>
      </c>
      <c r="O55">
        <v>19981</v>
      </c>
      <c r="P55">
        <v>389</v>
      </c>
      <c r="Q55">
        <v>24</v>
      </c>
      <c r="R55">
        <v>5800</v>
      </c>
      <c r="S55">
        <v>558</v>
      </c>
      <c r="T55">
        <v>3600</v>
      </c>
      <c r="U55">
        <v>0.80419700000000005</v>
      </c>
      <c r="V55">
        <v>1.4222600000000001</v>
      </c>
      <c r="W55">
        <v>3.7333999999999999E-2</v>
      </c>
      <c r="X55">
        <v>5.8383999999999998E-2</v>
      </c>
      <c r="Y55">
        <v>2.3223919999999998</v>
      </c>
    </row>
    <row r="56" spans="1:25" x14ac:dyDescent="0.2">
      <c r="A56" t="s">
        <v>25</v>
      </c>
      <c r="B56" t="s">
        <v>26</v>
      </c>
      <c r="C56">
        <v>34596</v>
      </c>
      <c r="D56">
        <v>15004</v>
      </c>
      <c r="E56">
        <v>43.37</v>
      </c>
      <c r="F56">
        <v>19592</v>
      </c>
      <c r="G56">
        <v>56.63</v>
      </c>
      <c r="H56">
        <v>4616</v>
      </c>
      <c r="I56">
        <v>23.56</v>
      </c>
      <c r="J56" t="s">
        <v>27</v>
      </c>
      <c r="K56">
        <v>870</v>
      </c>
      <c r="L56" t="s">
        <v>28</v>
      </c>
      <c r="M56">
        <v>4</v>
      </c>
      <c r="N56">
        <v>4</v>
      </c>
      <c r="O56">
        <v>20065</v>
      </c>
      <c r="P56">
        <v>473</v>
      </c>
      <c r="Q56">
        <v>24</v>
      </c>
      <c r="R56">
        <v>5800</v>
      </c>
      <c r="S56">
        <v>535</v>
      </c>
      <c r="T56">
        <v>3600</v>
      </c>
      <c r="U56">
        <v>0.98955800000000005</v>
      </c>
      <c r="V56">
        <v>1.099718</v>
      </c>
      <c r="W56">
        <v>3.9473000000000001E-2</v>
      </c>
      <c r="X56">
        <v>0.13739699999999999</v>
      </c>
      <c r="Y56">
        <v>2.2667329999999999</v>
      </c>
    </row>
    <row r="57" spans="1:25" x14ac:dyDescent="0.2">
      <c r="A57" t="s">
        <v>25</v>
      </c>
      <c r="B57" t="s">
        <v>26</v>
      </c>
      <c r="C57">
        <v>34596</v>
      </c>
      <c r="D57">
        <v>15004</v>
      </c>
      <c r="E57">
        <v>43.37</v>
      </c>
      <c r="F57">
        <v>19592</v>
      </c>
      <c r="G57">
        <v>56.63</v>
      </c>
      <c r="H57">
        <v>4616</v>
      </c>
      <c r="I57">
        <v>23.56</v>
      </c>
      <c r="J57" t="s">
        <v>27</v>
      </c>
      <c r="K57">
        <v>870</v>
      </c>
      <c r="L57" t="s">
        <v>28</v>
      </c>
      <c r="M57">
        <v>4</v>
      </c>
      <c r="N57">
        <v>4</v>
      </c>
      <c r="O57">
        <v>19985</v>
      </c>
      <c r="P57">
        <v>393</v>
      </c>
      <c r="Q57">
        <v>24</v>
      </c>
      <c r="R57">
        <v>5800</v>
      </c>
      <c r="S57">
        <v>354</v>
      </c>
      <c r="T57">
        <v>3600</v>
      </c>
      <c r="U57">
        <v>0.69820400000000005</v>
      </c>
      <c r="V57">
        <v>0.98230099999999998</v>
      </c>
      <c r="W57">
        <v>3.5624000000000003E-2</v>
      </c>
      <c r="X57">
        <v>9.7959000000000004E-2</v>
      </c>
      <c r="Y57">
        <v>1.8142780000000001</v>
      </c>
    </row>
    <row r="58" spans="1:25" x14ac:dyDescent="0.2">
      <c r="A58" t="s">
        <v>25</v>
      </c>
      <c r="B58" t="s">
        <v>26</v>
      </c>
      <c r="C58">
        <v>34596</v>
      </c>
      <c r="D58">
        <v>15004</v>
      </c>
      <c r="E58">
        <v>43.37</v>
      </c>
      <c r="F58">
        <v>19592</v>
      </c>
      <c r="G58">
        <v>56.63</v>
      </c>
      <c r="H58">
        <v>4616</v>
      </c>
      <c r="I58">
        <v>23.56</v>
      </c>
      <c r="J58" t="s">
        <v>27</v>
      </c>
      <c r="K58">
        <v>870</v>
      </c>
      <c r="L58" t="s">
        <v>28</v>
      </c>
      <c r="M58">
        <v>4</v>
      </c>
      <c r="N58">
        <v>4</v>
      </c>
      <c r="O58">
        <v>20023</v>
      </c>
      <c r="P58">
        <v>431</v>
      </c>
      <c r="Q58">
        <v>24</v>
      </c>
      <c r="R58">
        <v>5800</v>
      </c>
      <c r="S58">
        <v>436</v>
      </c>
      <c r="T58">
        <v>3600</v>
      </c>
      <c r="U58">
        <v>0.78082499999999999</v>
      </c>
      <c r="V58">
        <v>0.96750499999999995</v>
      </c>
      <c r="W58">
        <v>4.0176999999999997E-2</v>
      </c>
      <c r="X58">
        <v>0.14452200000000001</v>
      </c>
      <c r="Y58">
        <v>1.9332670000000001</v>
      </c>
    </row>
    <row r="59" spans="1:25" x14ac:dyDescent="0.2">
      <c r="A59" t="s">
        <v>25</v>
      </c>
      <c r="B59" t="s">
        <v>26</v>
      </c>
      <c r="C59">
        <v>34596</v>
      </c>
      <c r="D59">
        <v>15004</v>
      </c>
      <c r="E59">
        <v>43.37</v>
      </c>
      <c r="F59">
        <v>19592</v>
      </c>
      <c r="G59">
        <v>56.63</v>
      </c>
      <c r="H59">
        <v>4616</v>
      </c>
      <c r="I59">
        <v>23.56</v>
      </c>
      <c r="J59" t="s">
        <v>27</v>
      </c>
      <c r="K59">
        <v>870</v>
      </c>
      <c r="L59" t="s">
        <v>28</v>
      </c>
      <c r="M59">
        <v>4</v>
      </c>
      <c r="N59">
        <v>4</v>
      </c>
      <c r="O59">
        <v>20100</v>
      </c>
      <c r="P59">
        <v>508</v>
      </c>
      <c r="Q59">
        <v>24</v>
      </c>
      <c r="R59">
        <v>5800</v>
      </c>
      <c r="S59">
        <v>491</v>
      </c>
      <c r="T59">
        <v>3600</v>
      </c>
      <c r="U59">
        <v>0.81018599999999996</v>
      </c>
      <c r="V59">
        <v>1.2188749999999999</v>
      </c>
      <c r="W59">
        <v>3.8399999999999997E-2</v>
      </c>
      <c r="X59">
        <v>5.3029E-2</v>
      </c>
      <c r="Y59">
        <v>2.1207099999999999</v>
      </c>
    </row>
    <row r="60" spans="1:25" x14ac:dyDescent="0.2">
      <c r="A60" t="s">
        <v>25</v>
      </c>
      <c r="B60" t="s">
        <v>26</v>
      </c>
      <c r="C60">
        <v>34596</v>
      </c>
      <c r="D60">
        <v>15004</v>
      </c>
      <c r="E60">
        <v>43.37</v>
      </c>
      <c r="F60">
        <v>19592</v>
      </c>
      <c r="G60">
        <v>56.63</v>
      </c>
      <c r="H60">
        <v>4616</v>
      </c>
      <c r="I60">
        <v>23.56</v>
      </c>
      <c r="J60" t="s">
        <v>27</v>
      </c>
      <c r="K60">
        <v>870</v>
      </c>
      <c r="L60" t="s">
        <v>28</v>
      </c>
      <c r="M60">
        <v>4</v>
      </c>
      <c r="N60">
        <v>4</v>
      </c>
      <c r="O60">
        <v>19963</v>
      </c>
      <c r="P60">
        <v>371</v>
      </c>
      <c r="Q60">
        <v>24</v>
      </c>
      <c r="R60">
        <v>5800</v>
      </c>
      <c r="S60">
        <v>397</v>
      </c>
      <c r="T60">
        <v>3600</v>
      </c>
      <c r="U60">
        <v>0.63499799999999995</v>
      </c>
      <c r="V60">
        <v>1.13209</v>
      </c>
      <c r="W60">
        <v>4.1158E-2</v>
      </c>
      <c r="X60">
        <v>8.7320999999999996E-2</v>
      </c>
      <c r="Y60">
        <v>1.8959550000000001</v>
      </c>
    </row>
    <row r="61" spans="1:25" x14ac:dyDescent="0.2">
      <c r="A61" t="s">
        <v>25</v>
      </c>
      <c r="B61" t="s">
        <v>26</v>
      </c>
      <c r="C61">
        <v>34596</v>
      </c>
      <c r="D61">
        <v>15004</v>
      </c>
      <c r="E61">
        <v>43.37</v>
      </c>
      <c r="F61">
        <v>19592</v>
      </c>
      <c r="G61">
        <v>56.63</v>
      </c>
      <c r="H61">
        <v>4616</v>
      </c>
      <c r="I61">
        <v>23.56</v>
      </c>
      <c r="J61" t="s">
        <v>27</v>
      </c>
      <c r="K61">
        <v>870</v>
      </c>
      <c r="L61" t="s">
        <v>28</v>
      </c>
      <c r="M61">
        <v>4</v>
      </c>
      <c r="N61">
        <v>4</v>
      </c>
      <c r="O61">
        <v>20031</v>
      </c>
      <c r="P61">
        <v>439</v>
      </c>
      <c r="Q61">
        <v>24</v>
      </c>
      <c r="R61">
        <v>5800</v>
      </c>
      <c r="S61">
        <v>402</v>
      </c>
      <c r="T61">
        <v>3600</v>
      </c>
      <c r="U61">
        <v>0.61210799999999999</v>
      </c>
      <c r="V61">
        <v>1.210887</v>
      </c>
      <c r="W61">
        <v>3.8372999999999997E-2</v>
      </c>
      <c r="X61">
        <v>8.3570000000000005E-2</v>
      </c>
      <c r="Y61">
        <v>1.945125</v>
      </c>
    </row>
    <row r="62" spans="1:25" x14ac:dyDescent="0.2">
      <c r="A62" t="s">
        <v>25</v>
      </c>
      <c r="B62" t="s">
        <v>26</v>
      </c>
      <c r="C62">
        <v>34596</v>
      </c>
      <c r="D62">
        <v>15004</v>
      </c>
      <c r="E62">
        <v>43.37</v>
      </c>
      <c r="F62">
        <v>19592</v>
      </c>
      <c r="G62">
        <v>56.63</v>
      </c>
      <c r="H62">
        <v>4616</v>
      </c>
      <c r="I62">
        <v>23.56</v>
      </c>
      <c r="J62" t="s">
        <v>27</v>
      </c>
      <c r="K62">
        <v>870</v>
      </c>
      <c r="L62" t="s">
        <v>28</v>
      </c>
      <c r="M62">
        <v>4</v>
      </c>
      <c r="N62">
        <v>4</v>
      </c>
      <c r="O62">
        <v>20317</v>
      </c>
      <c r="P62">
        <v>725</v>
      </c>
      <c r="Q62">
        <v>25</v>
      </c>
      <c r="R62">
        <v>5976</v>
      </c>
      <c r="S62">
        <v>662</v>
      </c>
      <c r="T62">
        <v>3780</v>
      </c>
      <c r="U62">
        <v>0.90647900000000003</v>
      </c>
      <c r="V62">
        <v>0.96978200000000003</v>
      </c>
      <c r="W62">
        <v>4.3778999999999998E-2</v>
      </c>
      <c r="X62">
        <v>0.12761600000000001</v>
      </c>
      <c r="Y62">
        <v>2.047892</v>
      </c>
    </row>
    <row r="63" spans="1:25" x14ac:dyDescent="0.2">
      <c r="A63" t="s">
        <v>25</v>
      </c>
      <c r="B63" t="s">
        <v>26</v>
      </c>
      <c r="C63">
        <v>34596</v>
      </c>
      <c r="D63">
        <v>15004</v>
      </c>
      <c r="E63">
        <v>43.37</v>
      </c>
      <c r="F63">
        <v>19592</v>
      </c>
      <c r="G63">
        <v>56.63</v>
      </c>
      <c r="H63">
        <v>4616</v>
      </c>
      <c r="I63">
        <v>23.56</v>
      </c>
      <c r="J63" t="s">
        <v>27</v>
      </c>
      <c r="K63">
        <v>870</v>
      </c>
      <c r="L63" t="s">
        <v>28</v>
      </c>
      <c r="M63">
        <v>4</v>
      </c>
      <c r="N63">
        <v>4</v>
      </c>
      <c r="O63">
        <v>19979</v>
      </c>
      <c r="P63">
        <v>387</v>
      </c>
      <c r="Q63">
        <v>24</v>
      </c>
      <c r="R63">
        <v>5800</v>
      </c>
      <c r="S63">
        <v>466</v>
      </c>
      <c r="T63">
        <v>3600</v>
      </c>
      <c r="U63">
        <v>0.50992599999999999</v>
      </c>
      <c r="V63">
        <v>1.2822560000000001</v>
      </c>
      <c r="W63">
        <v>3.7347999999999999E-2</v>
      </c>
      <c r="X63">
        <v>9.4640000000000002E-2</v>
      </c>
      <c r="Y63">
        <v>1.924358</v>
      </c>
    </row>
    <row r="64" spans="1:25" x14ac:dyDescent="0.2">
      <c r="A64" t="s">
        <v>25</v>
      </c>
      <c r="B64" t="s">
        <v>26</v>
      </c>
      <c r="C64">
        <v>34596</v>
      </c>
      <c r="D64">
        <v>15004</v>
      </c>
      <c r="E64">
        <v>43.37</v>
      </c>
      <c r="F64">
        <v>19592</v>
      </c>
      <c r="G64">
        <v>56.63</v>
      </c>
      <c r="H64">
        <v>4616</v>
      </c>
      <c r="I64">
        <v>23.56</v>
      </c>
      <c r="J64" t="s">
        <v>27</v>
      </c>
      <c r="K64">
        <v>870</v>
      </c>
      <c r="L64" t="s">
        <v>28</v>
      </c>
      <c r="M64">
        <v>4</v>
      </c>
      <c r="N64">
        <v>4</v>
      </c>
      <c r="O64">
        <v>19979</v>
      </c>
      <c r="P64">
        <v>387</v>
      </c>
      <c r="Q64">
        <v>24</v>
      </c>
      <c r="R64">
        <v>5800</v>
      </c>
      <c r="S64">
        <v>312</v>
      </c>
      <c r="T64">
        <v>3600</v>
      </c>
      <c r="U64">
        <v>0.87068000000000001</v>
      </c>
      <c r="V64">
        <v>1.028629</v>
      </c>
      <c r="W64">
        <v>4.2372E-2</v>
      </c>
      <c r="X64">
        <v>0.105283</v>
      </c>
      <c r="Y64">
        <v>2.0472410000000001</v>
      </c>
    </row>
    <row r="65" spans="1:25" x14ac:dyDescent="0.2">
      <c r="A65" t="s">
        <v>25</v>
      </c>
      <c r="B65" t="s">
        <v>26</v>
      </c>
      <c r="C65">
        <v>34596</v>
      </c>
      <c r="D65">
        <v>15004</v>
      </c>
      <c r="E65">
        <v>43.37</v>
      </c>
      <c r="F65">
        <v>19592</v>
      </c>
      <c r="G65">
        <v>56.63</v>
      </c>
      <c r="H65">
        <v>4616</v>
      </c>
      <c r="I65">
        <v>23.56</v>
      </c>
      <c r="J65" t="s">
        <v>27</v>
      </c>
      <c r="K65">
        <v>870</v>
      </c>
      <c r="L65" t="s">
        <v>28</v>
      </c>
      <c r="M65">
        <v>4</v>
      </c>
      <c r="N65">
        <v>4</v>
      </c>
      <c r="O65">
        <v>20155</v>
      </c>
      <c r="P65">
        <v>563</v>
      </c>
      <c r="Q65">
        <v>24</v>
      </c>
      <c r="R65">
        <v>5800</v>
      </c>
      <c r="S65">
        <v>583</v>
      </c>
      <c r="T65">
        <v>3600</v>
      </c>
      <c r="U65">
        <v>2.6010979999999999</v>
      </c>
      <c r="V65">
        <v>0.94942400000000005</v>
      </c>
      <c r="W65">
        <v>4.1582000000000001E-2</v>
      </c>
      <c r="X65">
        <v>0.24354400000000001</v>
      </c>
      <c r="Y65">
        <v>3.835877</v>
      </c>
    </row>
    <row r="66" spans="1:25" x14ac:dyDescent="0.2">
      <c r="A66" t="s">
        <v>25</v>
      </c>
      <c r="B66" t="s">
        <v>26</v>
      </c>
      <c r="C66">
        <v>34596</v>
      </c>
      <c r="D66">
        <v>15004</v>
      </c>
      <c r="E66">
        <v>43.37</v>
      </c>
      <c r="F66">
        <v>19592</v>
      </c>
      <c r="G66">
        <v>56.63</v>
      </c>
      <c r="H66">
        <v>4616</v>
      </c>
      <c r="I66">
        <v>23.56</v>
      </c>
      <c r="J66" t="s">
        <v>27</v>
      </c>
      <c r="K66">
        <v>870</v>
      </c>
      <c r="L66" t="s">
        <v>28</v>
      </c>
      <c r="M66">
        <v>4</v>
      </c>
      <c r="N66">
        <v>4</v>
      </c>
      <c r="O66">
        <v>20121</v>
      </c>
      <c r="P66">
        <v>529</v>
      </c>
      <c r="Q66">
        <v>24</v>
      </c>
      <c r="R66">
        <v>5800</v>
      </c>
      <c r="S66">
        <v>497</v>
      </c>
      <c r="T66">
        <v>3600</v>
      </c>
      <c r="U66">
        <v>0.89571500000000004</v>
      </c>
      <c r="V66">
        <v>1.1038539999999999</v>
      </c>
      <c r="W66">
        <v>4.4010000000000001E-2</v>
      </c>
      <c r="X66">
        <v>0.120708</v>
      </c>
      <c r="Y66">
        <v>2.1645819999999998</v>
      </c>
    </row>
    <row r="67" spans="1:25" x14ac:dyDescent="0.2">
      <c r="A67" t="s">
        <v>25</v>
      </c>
      <c r="B67" t="s">
        <v>26</v>
      </c>
      <c r="C67">
        <v>34596</v>
      </c>
      <c r="D67">
        <v>15004</v>
      </c>
      <c r="E67">
        <v>43.37</v>
      </c>
      <c r="F67">
        <v>19592</v>
      </c>
      <c r="G67">
        <v>56.63</v>
      </c>
      <c r="H67">
        <v>4616</v>
      </c>
      <c r="I67">
        <v>23.56</v>
      </c>
      <c r="J67" t="s">
        <v>27</v>
      </c>
      <c r="K67">
        <v>870</v>
      </c>
      <c r="L67" t="s">
        <v>28</v>
      </c>
      <c r="M67">
        <v>4</v>
      </c>
      <c r="N67">
        <v>4</v>
      </c>
      <c r="O67">
        <v>20001</v>
      </c>
      <c r="P67">
        <v>409</v>
      </c>
      <c r="Q67">
        <v>24</v>
      </c>
      <c r="R67">
        <v>5800</v>
      </c>
      <c r="S67">
        <v>518</v>
      </c>
      <c r="T67">
        <v>3600</v>
      </c>
      <c r="U67">
        <v>0.58171700000000004</v>
      </c>
      <c r="V67">
        <v>1.1413709999999999</v>
      </c>
      <c r="W67">
        <v>3.7555999999999999E-2</v>
      </c>
      <c r="X67">
        <v>8.6815000000000003E-2</v>
      </c>
      <c r="Y67">
        <v>1.847655</v>
      </c>
    </row>
    <row r="68" spans="1:25" x14ac:dyDescent="0.2">
      <c r="A68" t="s">
        <v>25</v>
      </c>
      <c r="B68" t="s">
        <v>26</v>
      </c>
      <c r="C68">
        <v>34596</v>
      </c>
      <c r="D68">
        <v>15004</v>
      </c>
      <c r="E68">
        <v>43.37</v>
      </c>
      <c r="F68">
        <v>19592</v>
      </c>
      <c r="G68">
        <v>56.63</v>
      </c>
      <c r="H68">
        <v>4616</v>
      </c>
      <c r="I68">
        <v>23.56</v>
      </c>
      <c r="J68" t="s">
        <v>27</v>
      </c>
      <c r="K68">
        <v>870</v>
      </c>
      <c r="L68" t="s">
        <v>28</v>
      </c>
      <c r="M68">
        <v>4</v>
      </c>
      <c r="N68">
        <v>4</v>
      </c>
      <c r="O68">
        <v>19922</v>
      </c>
      <c r="P68">
        <v>330</v>
      </c>
      <c r="Q68">
        <v>24</v>
      </c>
      <c r="R68">
        <v>5800</v>
      </c>
      <c r="S68">
        <v>699</v>
      </c>
      <c r="T68">
        <v>3600</v>
      </c>
      <c r="U68">
        <v>1.152023</v>
      </c>
      <c r="V68">
        <v>1.046001</v>
      </c>
      <c r="W68">
        <v>3.8669000000000002E-2</v>
      </c>
      <c r="X68">
        <v>0.11075400000000001</v>
      </c>
      <c r="Y68">
        <v>2.3478249999999998</v>
      </c>
    </row>
    <row r="69" spans="1:25" x14ac:dyDescent="0.2">
      <c r="A69" t="s">
        <v>25</v>
      </c>
      <c r="B69" t="s">
        <v>26</v>
      </c>
      <c r="C69">
        <v>34596</v>
      </c>
      <c r="D69">
        <v>15004</v>
      </c>
      <c r="E69">
        <v>43.37</v>
      </c>
      <c r="F69">
        <v>19592</v>
      </c>
      <c r="G69">
        <v>56.63</v>
      </c>
      <c r="H69">
        <v>4616</v>
      </c>
      <c r="I69">
        <v>23.56</v>
      </c>
      <c r="J69" t="s">
        <v>27</v>
      </c>
      <c r="K69">
        <v>870</v>
      </c>
      <c r="L69" t="s">
        <v>28</v>
      </c>
      <c r="M69">
        <v>4</v>
      </c>
      <c r="N69">
        <v>3</v>
      </c>
      <c r="O69">
        <v>20318</v>
      </c>
      <c r="P69">
        <v>726</v>
      </c>
      <c r="Q69">
        <v>25</v>
      </c>
      <c r="R69">
        <v>5976</v>
      </c>
      <c r="S69">
        <v>860</v>
      </c>
      <c r="T69">
        <v>3780</v>
      </c>
      <c r="U69">
        <v>0.68492900000000001</v>
      </c>
      <c r="V69">
        <v>0.97206000000000004</v>
      </c>
      <c r="W69">
        <v>3.6498999999999997E-2</v>
      </c>
      <c r="X69">
        <v>4.0023999999999997E-2</v>
      </c>
      <c r="Y69">
        <v>1.7337720000000001</v>
      </c>
    </row>
    <row r="70" spans="1:25" x14ac:dyDescent="0.2">
      <c r="A70" t="s">
        <v>25</v>
      </c>
      <c r="B70" t="s">
        <v>26</v>
      </c>
      <c r="C70">
        <v>34596</v>
      </c>
      <c r="D70">
        <v>15004</v>
      </c>
      <c r="E70">
        <v>43.37</v>
      </c>
      <c r="F70">
        <v>19592</v>
      </c>
      <c r="G70">
        <v>56.63</v>
      </c>
      <c r="H70">
        <v>4616</v>
      </c>
      <c r="I70">
        <v>23.56</v>
      </c>
      <c r="J70" t="s">
        <v>27</v>
      </c>
      <c r="K70">
        <v>870</v>
      </c>
      <c r="L70" t="s">
        <v>28</v>
      </c>
      <c r="M70">
        <v>4</v>
      </c>
      <c r="N70">
        <v>4</v>
      </c>
      <c r="O70">
        <v>20063</v>
      </c>
      <c r="P70">
        <v>471</v>
      </c>
      <c r="Q70">
        <v>24</v>
      </c>
      <c r="R70">
        <v>5800</v>
      </c>
      <c r="S70">
        <v>444</v>
      </c>
      <c r="T70">
        <v>3600</v>
      </c>
      <c r="U70">
        <v>0.869537</v>
      </c>
      <c r="V70">
        <v>1.172288</v>
      </c>
      <c r="W70">
        <v>3.7766000000000001E-2</v>
      </c>
      <c r="X70">
        <v>0.11639099999999999</v>
      </c>
      <c r="Y70">
        <v>2.1961900000000001</v>
      </c>
    </row>
    <row r="71" spans="1:25" x14ac:dyDescent="0.2">
      <c r="A71" t="s">
        <v>25</v>
      </c>
      <c r="B71" t="s">
        <v>26</v>
      </c>
      <c r="C71">
        <v>34596</v>
      </c>
      <c r="D71">
        <v>15004</v>
      </c>
      <c r="E71">
        <v>43.37</v>
      </c>
      <c r="F71">
        <v>19592</v>
      </c>
      <c r="G71">
        <v>56.63</v>
      </c>
      <c r="H71">
        <v>4616</v>
      </c>
      <c r="I71">
        <v>23.56</v>
      </c>
      <c r="J71" t="s">
        <v>27</v>
      </c>
      <c r="K71">
        <v>870</v>
      </c>
      <c r="L71" t="s">
        <v>28</v>
      </c>
      <c r="M71">
        <v>4</v>
      </c>
      <c r="N71">
        <v>4</v>
      </c>
      <c r="O71">
        <v>19970</v>
      </c>
      <c r="P71">
        <v>378</v>
      </c>
      <c r="Q71">
        <v>24</v>
      </c>
      <c r="R71">
        <v>5800</v>
      </c>
      <c r="S71">
        <v>515</v>
      </c>
      <c r="T71">
        <v>3600</v>
      </c>
      <c r="U71">
        <v>0.53542400000000001</v>
      </c>
      <c r="V71">
        <v>1.121926</v>
      </c>
      <c r="W71">
        <v>3.857E-2</v>
      </c>
      <c r="X71">
        <v>0.118465</v>
      </c>
      <c r="Y71">
        <v>1.8145990000000001</v>
      </c>
    </row>
    <row r="72" spans="1:25" x14ac:dyDescent="0.2">
      <c r="A72" t="s">
        <v>25</v>
      </c>
      <c r="B72" t="s">
        <v>26</v>
      </c>
      <c r="C72">
        <v>34596</v>
      </c>
      <c r="D72">
        <v>15004</v>
      </c>
      <c r="E72">
        <v>43.37</v>
      </c>
      <c r="F72">
        <v>19592</v>
      </c>
      <c r="G72">
        <v>56.63</v>
      </c>
      <c r="H72">
        <v>4616</v>
      </c>
      <c r="I72">
        <v>23.56</v>
      </c>
      <c r="J72" t="s">
        <v>27</v>
      </c>
      <c r="K72">
        <v>870</v>
      </c>
      <c r="L72" t="s">
        <v>28</v>
      </c>
      <c r="M72">
        <v>4</v>
      </c>
      <c r="N72">
        <v>3</v>
      </c>
      <c r="O72">
        <v>20456</v>
      </c>
      <c r="P72">
        <v>864</v>
      </c>
      <c r="Q72">
        <v>25</v>
      </c>
      <c r="R72">
        <v>5976</v>
      </c>
      <c r="S72">
        <v>802</v>
      </c>
      <c r="T72">
        <v>3780</v>
      </c>
      <c r="U72">
        <v>0.97668100000000002</v>
      </c>
      <c r="V72">
        <v>1.1478649999999999</v>
      </c>
      <c r="W72">
        <v>3.8786000000000001E-2</v>
      </c>
      <c r="X72">
        <v>9.1275999999999996E-2</v>
      </c>
      <c r="Y72">
        <v>2.2548149999999998</v>
      </c>
    </row>
    <row r="73" spans="1:25" x14ac:dyDescent="0.2">
      <c r="A73" t="s">
        <v>25</v>
      </c>
      <c r="B73" t="s">
        <v>26</v>
      </c>
      <c r="C73">
        <v>34596</v>
      </c>
      <c r="D73">
        <v>15004</v>
      </c>
      <c r="E73">
        <v>43.37</v>
      </c>
      <c r="F73">
        <v>19592</v>
      </c>
      <c r="G73">
        <v>56.63</v>
      </c>
      <c r="H73">
        <v>4616</v>
      </c>
      <c r="I73">
        <v>23.56</v>
      </c>
      <c r="J73" t="s">
        <v>27</v>
      </c>
      <c r="K73">
        <v>870</v>
      </c>
      <c r="L73" t="s">
        <v>28</v>
      </c>
      <c r="M73">
        <v>4</v>
      </c>
      <c r="N73">
        <v>4</v>
      </c>
      <c r="O73">
        <v>20139</v>
      </c>
      <c r="P73">
        <v>547</v>
      </c>
      <c r="Q73">
        <v>24</v>
      </c>
      <c r="R73">
        <v>5800</v>
      </c>
      <c r="S73">
        <v>604</v>
      </c>
      <c r="T73">
        <v>3600</v>
      </c>
      <c r="U73">
        <v>1.1317360000000001</v>
      </c>
      <c r="V73">
        <v>0.98679799999999995</v>
      </c>
      <c r="W73">
        <v>3.7021999999999999E-2</v>
      </c>
      <c r="X73">
        <v>0.110363</v>
      </c>
      <c r="Y73">
        <v>2.2661030000000002</v>
      </c>
    </row>
    <row r="74" spans="1:25" x14ac:dyDescent="0.2">
      <c r="A74" t="s">
        <v>25</v>
      </c>
      <c r="B74" t="s">
        <v>26</v>
      </c>
      <c r="C74">
        <v>34596</v>
      </c>
      <c r="D74">
        <v>15004</v>
      </c>
      <c r="E74">
        <v>43.37</v>
      </c>
      <c r="F74">
        <v>19592</v>
      </c>
      <c r="G74">
        <v>56.63</v>
      </c>
      <c r="H74">
        <v>4616</v>
      </c>
      <c r="I74">
        <v>23.56</v>
      </c>
      <c r="J74" t="s">
        <v>27</v>
      </c>
      <c r="K74">
        <v>870</v>
      </c>
      <c r="L74" t="s">
        <v>28</v>
      </c>
      <c r="M74">
        <v>4</v>
      </c>
      <c r="N74">
        <v>4</v>
      </c>
      <c r="O74">
        <v>20005</v>
      </c>
      <c r="P74">
        <v>413</v>
      </c>
      <c r="Q74">
        <v>24</v>
      </c>
      <c r="R74">
        <v>5800</v>
      </c>
      <c r="S74">
        <v>428</v>
      </c>
      <c r="T74">
        <v>3600</v>
      </c>
      <c r="U74">
        <v>1.210852</v>
      </c>
      <c r="V74">
        <v>0.97130099999999997</v>
      </c>
      <c r="W74">
        <v>4.1654999999999998E-2</v>
      </c>
      <c r="X74">
        <v>6.8545999999999996E-2</v>
      </c>
      <c r="Y74">
        <v>2.2926139999999999</v>
      </c>
    </row>
    <row r="75" spans="1:25" x14ac:dyDescent="0.2">
      <c r="A75" t="s">
        <v>25</v>
      </c>
      <c r="B75" t="s">
        <v>26</v>
      </c>
      <c r="C75">
        <v>34596</v>
      </c>
      <c r="D75">
        <v>15004</v>
      </c>
      <c r="E75">
        <v>43.37</v>
      </c>
      <c r="F75">
        <v>19592</v>
      </c>
      <c r="G75">
        <v>56.63</v>
      </c>
      <c r="H75">
        <v>4616</v>
      </c>
      <c r="I75">
        <v>23.56</v>
      </c>
      <c r="J75" t="s">
        <v>27</v>
      </c>
      <c r="K75">
        <v>870</v>
      </c>
      <c r="L75" t="s">
        <v>28</v>
      </c>
      <c r="M75">
        <v>4</v>
      </c>
      <c r="N75">
        <v>4</v>
      </c>
      <c r="O75">
        <v>20380</v>
      </c>
      <c r="P75">
        <v>788</v>
      </c>
      <c r="Q75">
        <v>25</v>
      </c>
      <c r="R75">
        <v>5980</v>
      </c>
      <c r="S75">
        <v>585</v>
      </c>
      <c r="T75">
        <v>3780</v>
      </c>
      <c r="U75">
        <v>0.80269500000000005</v>
      </c>
      <c r="V75">
        <v>1.1029629999999999</v>
      </c>
      <c r="W75">
        <v>4.3284999999999997E-2</v>
      </c>
      <c r="X75">
        <v>8.6454000000000003E-2</v>
      </c>
      <c r="Y75">
        <v>2.0358429999999998</v>
      </c>
    </row>
    <row r="76" spans="1:25" x14ac:dyDescent="0.2">
      <c r="A76" t="s">
        <v>25</v>
      </c>
      <c r="B76" t="s">
        <v>26</v>
      </c>
      <c r="C76">
        <v>34596</v>
      </c>
      <c r="D76">
        <v>15004</v>
      </c>
      <c r="E76">
        <v>43.37</v>
      </c>
      <c r="F76">
        <v>19592</v>
      </c>
      <c r="G76">
        <v>56.63</v>
      </c>
      <c r="H76">
        <v>4616</v>
      </c>
      <c r="I76">
        <v>23.56</v>
      </c>
      <c r="J76" t="s">
        <v>27</v>
      </c>
      <c r="K76">
        <v>870</v>
      </c>
      <c r="L76" t="s">
        <v>28</v>
      </c>
      <c r="M76">
        <v>4</v>
      </c>
      <c r="N76">
        <v>4</v>
      </c>
      <c r="O76">
        <v>19993</v>
      </c>
      <c r="P76">
        <v>401</v>
      </c>
      <c r="Q76">
        <v>24</v>
      </c>
      <c r="R76">
        <v>5800</v>
      </c>
      <c r="S76">
        <v>425</v>
      </c>
      <c r="T76">
        <v>3600</v>
      </c>
      <c r="U76">
        <v>0.70669700000000002</v>
      </c>
      <c r="V76">
        <v>1.2327900000000001</v>
      </c>
      <c r="W76">
        <v>3.7491999999999998E-2</v>
      </c>
      <c r="X76">
        <v>8.4469000000000002E-2</v>
      </c>
      <c r="Y76">
        <v>2.0617779999999999</v>
      </c>
    </row>
    <row r="77" spans="1:25" x14ac:dyDescent="0.2">
      <c r="A77" t="s">
        <v>25</v>
      </c>
      <c r="B77" t="s">
        <v>26</v>
      </c>
      <c r="C77">
        <v>34596</v>
      </c>
      <c r="D77">
        <v>15004</v>
      </c>
      <c r="E77">
        <v>43.37</v>
      </c>
      <c r="F77">
        <v>19592</v>
      </c>
      <c r="G77">
        <v>56.63</v>
      </c>
      <c r="H77">
        <v>4616</v>
      </c>
      <c r="I77">
        <v>23.56</v>
      </c>
      <c r="J77" t="s">
        <v>27</v>
      </c>
      <c r="K77">
        <v>870</v>
      </c>
      <c r="L77" t="s">
        <v>28</v>
      </c>
      <c r="M77">
        <v>4</v>
      </c>
      <c r="N77">
        <v>4</v>
      </c>
      <c r="O77">
        <v>20443</v>
      </c>
      <c r="P77">
        <v>851</v>
      </c>
      <c r="Q77">
        <v>25</v>
      </c>
      <c r="R77">
        <v>5980</v>
      </c>
      <c r="S77">
        <v>759</v>
      </c>
      <c r="T77">
        <v>3780</v>
      </c>
      <c r="U77">
        <v>0.47017100000000001</v>
      </c>
      <c r="V77">
        <v>0.94581400000000004</v>
      </c>
      <c r="W77">
        <v>3.9729E-2</v>
      </c>
      <c r="X77">
        <v>9.2351000000000003E-2</v>
      </c>
      <c r="Y77">
        <v>1.548254</v>
      </c>
    </row>
    <row r="78" spans="1:25" x14ac:dyDescent="0.2">
      <c r="A78" t="s">
        <v>25</v>
      </c>
      <c r="B78" t="s">
        <v>26</v>
      </c>
      <c r="C78">
        <v>34596</v>
      </c>
      <c r="D78">
        <v>15004</v>
      </c>
      <c r="E78">
        <v>43.37</v>
      </c>
      <c r="F78">
        <v>19592</v>
      </c>
      <c r="G78">
        <v>56.63</v>
      </c>
      <c r="H78">
        <v>4616</v>
      </c>
      <c r="I78">
        <v>23.56</v>
      </c>
      <c r="J78" t="s">
        <v>27</v>
      </c>
      <c r="K78">
        <v>870</v>
      </c>
      <c r="L78" t="s">
        <v>28</v>
      </c>
      <c r="M78">
        <v>4</v>
      </c>
      <c r="N78">
        <v>4</v>
      </c>
      <c r="O78">
        <v>19867</v>
      </c>
      <c r="P78">
        <v>275</v>
      </c>
      <c r="Q78">
        <v>24</v>
      </c>
      <c r="R78">
        <v>5800</v>
      </c>
      <c r="S78">
        <v>374</v>
      </c>
      <c r="T78">
        <v>3600</v>
      </c>
      <c r="U78">
        <v>0.66475200000000001</v>
      </c>
      <c r="V78">
        <v>0.95409999999999995</v>
      </c>
      <c r="W78">
        <v>3.7194999999999999E-2</v>
      </c>
      <c r="X78">
        <v>7.6427999999999996E-2</v>
      </c>
      <c r="Y78">
        <v>1.732669</v>
      </c>
    </row>
    <row r="79" spans="1:25" x14ac:dyDescent="0.2">
      <c r="A79" t="s">
        <v>25</v>
      </c>
      <c r="B79" t="s">
        <v>26</v>
      </c>
      <c r="C79">
        <v>34596</v>
      </c>
      <c r="D79">
        <v>15004</v>
      </c>
      <c r="E79">
        <v>43.37</v>
      </c>
      <c r="F79">
        <v>19592</v>
      </c>
      <c r="G79">
        <v>56.63</v>
      </c>
      <c r="H79">
        <v>4616</v>
      </c>
      <c r="I79">
        <v>23.56</v>
      </c>
      <c r="J79" t="s">
        <v>27</v>
      </c>
      <c r="K79">
        <v>870</v>
      </c>
      <c r="L79" t="s">
        <v>28</v>
      </c>
      <c r="M79">
        <v>4</v>
      </c>
      <c r="N79">
        <v>4</v>
      </c>
      <c r="O79">
        <v>20099</v>
      </c>
      <c r="P79">
        <v>507</v>
      </c>
      <c r="Q79">
        <v>24</v>
      </c>
      <c r="R79">
        <v>5800</v>
      </c>
      <c r="S79">
        <v>369</v>
      </c>
      <c r="T79">
        <v>3600</v>
      </c>
      <c r="U79">
        <v>0.46889500000000001</v>
      </c>
      <c r="V79">
        <v>0.94529799999999997</v>
      </c>
      <c r="W79">
        <v>3.9294999999999997E-2</v>
      </c>
      <c r="X79">
        <v>5.2291999999999998E-2</v>
      </c>
      <c r="Y79">
        <v>1.5059739999999999</v>
      </c>
    </row>
    <row r="80" spans="1:25" x14ac:dyDescent="0.2">
      <c r="A80" t="s">
        <v>25</v>
      </c>
      <c r="B80" t="s">
        <v>26</v>
      </c>
      <c r="C80">
        <v>34596</v>
      </c>
      <c r="D80">
        <v>15004</v>
      </c>
      <c r="E80">
        <v>43.37</v>
      </c>
      <c r="F80">
        <v>19592</v>
      </c>
      <c r="G80">
        <v>56.63</v>
      </c>
      <c r="H80">
        <v>4616</v>
      </c>
      <c r="I80">
        <v>23.56</v>
      </c>
      <c r="J80" t="s">
        <v>27</v>
      </c>
      <c r="K80">
        <v>870</v>
      </c>
      <c r="L80" t="s">
        <v>28</v>
      </c>
      <c r="M80">
        <v>4</v>
      </c>
      <c r="N80">
        <v>2</v>
      </c>
      <c r="O80">
        <v>19851</v>
      </c>
      <c r="P80">
        <v>259</v>
      </c>
      <c r="Q80">
        <v>25</v>
      </c>
      <c r="R80">
        <v>5980</v>
      </c>
      <c r="S80">
        <v>684</v>
      </c>
      <c r="T80">
        <v>3780</v>
      </c>
      <c r="U80">
        <v>0.62932100000000002</v>
      </c>
      <c r="V80">
        <v>0.99505200000000005</v>
      </c>
      <c r="W80">
        <v>4.2535000000000003E-2</v>
      </c>
      <c r="X80">
        <v>3.9560999999999999E-2</v>
      </c>
      <c r="Y80">
        <v>1.7066490000000001</v>
      </c>
    </row>
    <row r="81" spans="1:25" x14ac:dyDescent="0.2">
      <c r="A81" t="s">
        <v>25</v>
      </c>
      <c r="B81" t="s">
        <v>26</v>
      </c>
      <c r="C81">
        <v>34596</v>
      </c>
      <c r="D81">
        <v>15004</v>
      </c>
      <c r="E81">
        <v>43.37</v>
      </c>
      <c r="F81">
        <v>19592</v>
      </c>
      <c r="G81">
        <v>56.63</v>
      </c>
      <c r="H81">
        <v>4616</v>
      </c>
      <c r="I81">
        <v>23.56</v>
      </c>
      <c r="J81" t="s">
        <v>27</v>
      </c>
      <c r="K81">
        <v>870</v>
      </c>
      <c r="L81" t="s">
        <v>28</v>
      </c>
      <c r="M81">
        <v>4</v>
      </c>
      <c r="N81">
        <v>4</v>
      </c>
      <c r="O81">
        <v>20075</v>
      </c>
      <c r="P81">
        <v>483</v>
      </c>
      <c r="Q81">
        <v>24</v>
      </c>
      <c r="R81">
        <v>5800</v>
      </c>
      <c r="S81">
        <v>459</v>
      </c>
      <c r="T81">
        <v>3600</v>
      </c>
      <c r="U81">
        <v>1.34935</v>
      </c>
      <c r="V81">
        <v>1.126752</v>
      </c>
      <c r="W81">
        <v>3.7849000000000001E-2</v>
      </c>
      <c r="X81">
        <v>0.102965</v>
      </c>
      <c r="Y81">
        <v>2.6171389999999999</v>
      </c>
    </row>
    <row r="82" spans="1:25" x14ac:dyDescent="0.2">
      <c r="A82" t="s">
        <v>25</v>
      </c>
      <c r="B82" t="s">
        <v>26</v>
      </c>
      <c r="C82">
        <v>34596</v>
      </c>
      <c r="D82">
        <v>15004</v>
      </c>
      <c r="E82">
        <v>43.37</v>
      </c>
      <c r="F82">
        <v>19592</v>
      </c>
      <c r="G82">
        <v>56.63</v>
      </c>
      <c r="H82">
        <v>4616</v>
      </c>
      <c r="I82">
        <v>23.56</v>
      </c>
      <c r="J82" t="s">
        <v>27</v>
      </c>
      <c r="K82">
        <v>870</v>
      </c>
      <c r="L82" t="s">
        <v>28</v>
      </c>
      <c r="M82">
        <v>4</v>
      </c>
      <c r="N82">
        <v>4</v>
      </c>
      <c r="O82">
        <v>20081</v>
      </c>
      <c r="P82">
        <v>489</v>
      </c>
      <c r="Q82">
        <v>24</v>
      </c>
      <c r="R82">
        <v>5800</v>
      </c>
      <c r="S82">
        <v>431</v>
      </c>
      <c r="T82">
        <v>3600</v>
      </c>
      <c r="U82">
        <v>0.75831700000000002</v>
      </c>
      <c r="V82">
        <v>0.94551099999999999</v>
      </c>
      <c r="W82">
        <v>4.4033000000000003E-2</v>
      </c>
      <c r="X82">
        <v>8.7498999999999993E-2</v>
      </c>
      <c r="Y82">
        <v>1.835677</v>
      </c>
    </row>
    <row r="83" spans="1:25" x14ac:dyDescent="0.2">
      <c r="A83" t="s">
        <v>25</v>
      </c>
      <c r="B83" t="s">
        <v>26</v>
      </c>
      <c r="C83">
        <v>34596</v>
      </c>
      <c r="D83">
        <v>15004</v>
      </c>
      <c r="E83">
        <v>43.37</v>
      </c>
      <c r="F83">
        <v>19592</v>
      </c>
      <c r="G83">
        <v>56.63</v>
      </c>
      <c r="H83">
        <v>4616</v>
      </c>
      <c r="I83">
        <v>23.56</v>
      </c>
      <c r="J83" t="s">
        <v>27</v>
      </c>
      <c r="K83">
        <v>870</v>
      </c>
      <c r="L83" t="s">
        <v>28</v>
      </c>
      <c r="M83">
        <v>4</v>
      </c>
      <c r="N83">
        <v>4</v>
      </c>
      <c r="O83">
        <v>20176</v>
      </c>
      <c r="P83">
        <v>584</v>
      </c>
      <c r="Q83">
        <v>25</v>
      </c>
      <c r="R83">
        <v>5976</v>
      </c>
      <c r="S83">
        <v>307</v>
      </c>
      <c r="T83">
        <v>3780</v>
      </c>
      <c r="U83">
        <v>0.57460900000000004</v>
      </c>
      <c r="V83">
        <v>0.95433400000000002</v>
      </c>
      <c r="W83">
        <v>3.7199999999999997E-2</v>
      </c>
      <c r="X83">
        <v>0.113001</v>
      </c>
      <c r="Y83">
        <v>1.679322</v>
      </c>
    </row>
    <row r="84" spans="1:25" x14ac:dyDescent="0.2">
      <c r="A84" t="s">
        <v>25</v>
      </c>
      <c r="B84" t="s">
        <v>26</v>
      </c>
      <c r="C84">
        <v>34596</v>
      </c>
      <c r="D84">
        <v>15004</v>
      </c>
      <c r="E84">
        <v>43.37</v>
      </c>
      <c r="F84">
        <v>19592</v>
      </c>
      <c r="G84">
        <v>56.63</v>
      </c>
      <c r="H84">
        <v>4616</v>
      </c>
      <c r="I84">
        <v>23.56</v>
      </c>
      <c r="J84" t="s">
        <v>27</v>
      </c>
      <c r="K84">
        <v>870</v>
      </c>
      <c r="L84" t="s">
        <v>28</v>
      </c>
      <c r="M84">
        <v>4</v>
      </c>
      <c r="N84">
        <v>4</v>
      </c>
      <c r="O84">
        <v>20165</v>
      </c>
      <c r="P84">
        <v>573</v>
      </c>
      <c r="Q84">
        <v>24</v>
      </c>
      <c r="R84">
        <v>5800</v>
      </c>
      <c r="S84">
        <v>468</v>
      </c>
      <c r="T84">
        <v>3600</v>
      </c>
      <c r="U84">
        <v>0.58098799999999995</v>
      </c>
      <c r="V84">
        <v>0.94370299999999996</v>
      </c>
      <c r="W84">
        <v>4.0085000000000003E-2</v>
      </c>
      <c r="X84">
        <v>0.100938</v>
      </c>
      <c r="Y84">
        <v>1.6659839999999999</v>
      </c>
    </row>
    <row r="85" spans="1:25" x14ac:dyDescent="0.2">
      <c r="A85" t="s">
        <v>25</v>
      </c>
      <c r="B85" t="s">
        <v>26</v>
      </c>
      <c r="C85">
        <v>34596</v>
      </c>
      <c r="D85">
        <v>15004</v>
      </c>
      <c r="E85">
        <v>43.37</v>
      </c>
      <c r="F85">
        <v>19592</v>
      </c>
      <c r="G85">
        <v>56.63</v>
      </c>
      <c r="H85">
        <v>4616</v>
      </c>
      <c r="I85">
        <v>23.56</v>
      </c>
      <c r="J85" t="s">
        <v>27</v>
      </c>
      <c r="K85">
        <v>870</v>
      </c>
      <c r="L85" t="s">
        <v>28</v>
      </c>
      <c r="M85">
        <v>4</v>
      </c>
      <c r="N85">
        <v>4</v>
      </c>
      <c r="O85">
        <v>19942</v>
      </c>
      <c r="P85">
        <v>350</v>
      </c>
      <c r="Q85">
        <v>24</v>
      </c>
      <c r="R85">
        <v>5800</v>
      </c>
      <c r="S85">
        <v>345</v>
      </c>
      <c r="T85">
        <v>3600</v>
      </c>
      <c r="U85">
        <v>0.78682600000000003</v>
      </c>
      <c r="V85">
        <v>1.0472170000000001</v>
      </c>
      <c r="W85">
        <v>3.9645E-2</v>
      </c>
      <c r="X85">
        <v>0.106017</v>
      </c>
      <c r="Y85">
        <v>1.9799640000000001</v>
      </c>
    </row>
    <row r="86" spans="1:25" x14ac:dyDescent="0.2">
      <c r="A86" t="s">
        <v>25</v>
      </c>
      <c r="B86" t="s">
        <v>26</v>
      </c>
      <c r="C86">
        <v>34596</v>
      </c>
      <c r="D86">
        <v>15004</v>
      </c>
      <c r="E86">
        <v>43.37</v>
      </c>
      <c r="F86">
        <v>19592</v>
      </c>
      <c r="G86">
        <v>56.63</v>
      </c>
      <c r="H86">
        <v>4616</v>
      </c>
      <c r="I86">
        <v>23.56</v>
      </c>
      <c r="J86" t="s">
        <v>27</v>
      </c>
      <c r="K86">
        <v>870</v>
      </c>
      <c r="L86" t="s">
        <v>28</v>
      </c>
      <c r="M86">
        <v>4</v>
      </c>
      <c r="N86">
        <v>3</v>
      </c>
      <c r="O86">
        <v>20344</v>
      </c>
      <c r="P86">
        <v>752</v>
      </c>
      <c r="Q86">
        <v>25</v>
      </c>
      <c r="R86">
        <v>5980</v>
      </c>
      <c r="S86">
        <v>803</v>
      </c>
      <c r="T86">
        <v>3780</v>
      </c>
      <c r="U86">
        <v>0.64105999999999996</v>
      </c>
      <c r="V86">
        <v>1.318092</v>
      </c>
      <c r="W86">
        <v>3.4624000000000002E-2</v>
      </c>
      <c r="X86">
        <v>6.4354999999999996E-2</v>
      </c>
      <c r="Y86">
        <v>2.0583429999999998</v>
      </c>
    </row>
    <row r="87" spans="1:25" x14ac:dyDescent="0.2">
      <c r="A87" t="s">
        <v>25</v>
      </c>
      <c r="B87" t="s">
        <v>26</v>
      </c>
      <c r="C87">
        <v>34596</v>
      </c>
      <c r="D87">
        <v>15004</v>
      </c>
      <c r="E87">
        <v>43.37</v>
      </c>
      <c r="F87">
        <v>19592</v>
      </c>
      <c r="G87">
        <v>56.63</v>
      </c>
      <c r="H87">
        <v>4616</v>
      </c>
      <c r="I87">
        <v>23.56</v>
      </c>
      <c r="J87" t="s">
        <v>27</v>
      </c>
      <c r="K87">
        <v>870</v>
      </c>
      <c r="L87" t="s">
        <v>28</v>
      </c>
      <c r="M87">
        <v>4</v>
      </c>
      <c r="N87">
        <v>4</v>
      </c>
      <c r="O87">
        <v>20698</v>
      </c>
      <c r="P87">
        <v>1106</v>
      </c>
      <c r="Q87">
        <v>25</v>
      </c>
      <c r="R87">
        <v>5980</v>
      </c>
      <c r="S87">
        <v>472</v>
      </c>
      <c r="T87">
        <v>3780</v>
      </c>
      <c r="U87">
        <v>1.0231239999999999</v>
      </c>
      <c r="V87">
        <v>0.98133099999999995</v>
      </c>
      <c r="W87">
        <v>4.1971000000000001E-2</v>
      </c>
      <c r="X87">
        <v>7.2939000000000004E-2</v>
      </c>
      <c r="Y87">
        <v>2.1195819999999999</v>
      </c>
    </row>
    <row r="88" spans="1:25" x14ac:dyDescent="0.2">
      <c r="A88" t="s">
        <v>25</v>
      </c>
      <c r="B88" t="s">
        <v>26</v>
      </c>
      <c r="C88">
        <v>34596</v>
      </c>
      <c r="D88">
        <v>15004</v>
      </c>
      <c r="E88">
        <v>43.37</v>
      </c>
      <c r="F88">
        <v>19592</v>
      </c>
      <c r="G88">
        <v>56.63</v>
      </c>
      <c r="H88">
        <v>4616</v>
      </c>
      <c r="I88">
        <v>23.56</v>
      </c>
      <c r="J88" t="s">
        <v>27</v>
      </c>
      <c r="K88">
        <v>870</v>
      </c>
      <c r="L88" t="s">
        <v>28</v>
      </c>
      <c r="M88">
        <v>4</v>
      </c>
      <c r="N88">
        <v>4</v>
      </c>
      <c r="O88">
        <v>20047</v>
      </c>
      <c r="P88">
        <v>455</v>
      </c>
      <c r="Q88">
        <v>24</v>
      </c>
      <c r="R88">
        <v>5800</v>
      </c>
      <c r="S88">
        <v>657</v>
      </c>
      <c r="T88">
        <v>3600</v>
      </c>
      <c r="U88">
        <v>0.76251599999999997</v>
      </c>
      <c r="V88">
        <v>1.0500499999999999</v>
      </c>
      <c r="W88">
        <v>3.7491999999999998E-2</v>
      </c>
      <c r="X88">
        <v>0.103145</v>
      </c>
      <c r="Y88">
        <v>1.9534229999999999</v>
      </c>
    </row>
    <row r="89" spans="1:25" x14ac:dyDescent="0.2">
      <c r="A89" t="s">
        <v>25</v>
      </c>
      <c r="B89" t="s">
        <v>26</v>
      </c>
      <c r="C89">
        <v>34596</v>
      </c>
      <c r="D89">
        <v>15004</v>
      </c>
      <c r="E89">
        <v>43.37</v>
      </c>
      <c r="F89">
        <v>19592</v>
      </c>
      <c r="G89">
        <v>56.63</v>
      </c>
      <c r="H89">
        <v>4616</v>
      </c>
      <c r="I89">
        <v>23.56</v>
      </c>
      <c r="J89" t="s">
        <v>27</v>
      </c>
      <c r="K89">
        <v>870</v>
      </c>
      <c r="L89" t="s">
        <v>28</v>
      </c>
      <c r="M89">
        <v>4</v>
      </c>
      <c r="N89">
        <v>4</v>
      </c>
      <c r="O89">
        <v>19988</v>
      </c>
      <c r="P89">
        <v>396</v>
      </c>
      <c r="Q89">
        <v>24</v>
      </c>
      <c r="R89">
        <v>5800</v>
      </c>
      <c r="S89">
        <v>267</v>
      </c>
      <c r="T89">
        <v>3600</v>
      </c>
      <c r="U89">
        <v>1.2074549999999999</v>
      </c>
      <c r="V89">
        <v>1.1552690000000001</v>
      </c>
      <c r="W89">
        <v>4.0830999999999999E-2</v>
      </c>
      <c r="X89">
        <v>6.6775000000000001E-2</v>
      </c>
      <c r="Y89">
        <v>2.4756179999999999</v>
      </c>
    </row>
    <row r="90" spans="1:25" x14ac:dyDescent="0.2">
      <c r="A90" t="s">
        <v>25</v>
      </c>
      <c r="B90" t="s">
        <v>26</v>
      </c>
      <c r="C90">
        <v>34596</v>
      </c>
      <c r="D90">
        <v>15004</v>
      </c>
      <c r="E90">
        <v>43.37</v>
      </c>
      <c r="F90">
        <v>19592</v>
      </c>
      <c r="G90">
        <v>56.63</v>
      </c>
      <c r="H90">
        <v>4616</v>
      </c>
      <c r="I90">
        <v>23.56</v>
      </c>
      <c r="J90" t="s">
        <v>27</v>
      </c>
      <c r="K90">
        <v>870</v>
      </c>
      <c r="L90" t="s">
        <v>28</v>
      </c>
      <c r="M90">
        <v>4</v>
      </c>
      <c r="N90">
        <v>4</v>
      </c>
      <c r="O90">
        <v>20185</v>
      </c>
      <c r="P90">
        <v>593</v>
      </c>
      <c r="Q90">
        <v>24</v>
      </c>
      <c r="R90">
        <v>5800</v>
      </c>
      <c r="S90">
        <v>548</v>
      </c>
      <c r="T90">
        <v>3600</v>
      </c>
      <c r="U90">
        <v>0.85430700000000004</v>
      </c>
      <c r="V90">
        <v>0.97676200000000002</v>
      </c>
      <c r="W90">
        <v>3.7586000000000001E-2</v>
      </c>
      <c r="X90">
        <v>5.8865000000000001E-2</v>
      </c>
      <c r="Y90">
        <v>1.9276990000000001</v>
      </c>
    </row>
    <row r="91" spans="1:25" x14ac:dyDescent="0.2">
      <c r="A91" t="s">
        <v>25</v>
      </c>
      <c r="B91" t="s">
        <v>26</v>
      </c>
      <c r="C91">
        <v>34596</v>
      </c>
      <c r="D91">
        <v>15004</v>
      </c>
      <c r="E91">
        <v>43.37</v>
      </c>
      <c r="F91">
        <v>19592</v>
      </c>
      <c r="G91">
        <v>56.63</v>
      </c>
      <c r="H91">
        <v>4616</v>
      </c>
      <c r="I91">
        <v>23.56</v>
      </c>
      <c r="J91" t="s">
        <v>27</v>
      </c>
      <c r="K91">
        <v>870</v>
      </c>
      <c r="L91" t="s">
        <v>28</v>
      </c>
      <c r="M91">
        <v>4</v>
      </c>
      <c r="N91">
        <v>4</v>
      </c>
      <c r="O91">
        <v>20053</v>
      </c>
      <c r="P91">
        <v>461</v>
      </c>
      <c r="Q91">
        <v>24</v>
      </c>
      <c r="R91">
        <v>5800</v>
      </c>
      <c r="S91">
        <v>367</v>
      </c>
      <c r="T91">
        <v>3600</v>
      </c>
      <c r="U91">
        <v>1.0274829999999999</v>
      </c>
      <c r="V91">
        <v>0.96898899999999999</v>
      </c>
      <c r="W91">
        <v>3.6589999999999998E-2</v>
      </c>
      <c r="X91">
        <v>3.576E-2</v>
      </c>
      <c r="Y91">
        <v>2.0690050000000002</v>
      </c>
    </row>
    <row r="92" spans="1:25" x14ac:dyDescent="0.2">
      <c r="A92" t="s">
        <v>25</v>
      </c>
      <c r="B92" t="s">
        <v>26</v>
      </c>
      <c r="C92">
        <v>34596</v>
      </c>
      <c r="D92">
        <v>15004</v>
      </c>
      <c r="E92">
        <v>43.37</v>
      </c>
      <c r="F92">
        <v>19592</v>
      </c>
      <c r="G92">
        <v>56.63</v>
      </c>
      <c r="H92">
        <v>4616</v>
      </c>
      <c r="I92">
        <v>23.56</v>
      </c>
      <c r="J92" t="s">
        <v>27</v>
      </c>
      <c r="K92">
        <v>870</v>
      </c>
      <c r="L92" t="s">
        <v>28</v>
      </c>
      <c r="M92">
        <v>4</v>
      </c>
      <c r="N92">
        <v>4</v>
      </c>
      <c r="O92">
        <v>19947</v>
      </c>
      <c r="P92">
        <v>355</v>
      </c>
      <c r="Q92">
        <v>24</v>
      </c>
      <c r="R92">
        <v>5800</v>
      </c>
      <c r="S92">
        <v>507</v>
      </c>
      <c r="T92">
        <v>3600</v>
      </c>
      <c r="U92">
        <v>2.0185840000000002</v>
      </c>
      <c r="V92">
        <v>2.3882669999999999</v>
      </c>
      <c r="W92">
        <v>4.0277E-2</v>
      </c>
      <c r="X92">
        <v>0.11716799999999999</v>
      </c>
      <c r="Y92">
        <v>4.5655279999999996</v>
      </c>
    </row>
    <row r="93" spans="1:25" x14ac:dyDescent="0.2">
      <c r="A93" t="s">
        <v>25</v>
      </c>
      <c r="B93" t="s">
        <v>26</v>
      </c>
      <c r="C93">
        <v>34596</v>
      </c>
      <c r="D93">
        <v>15004</v>
      </c>
      <c r="E93">
        <v>43.37</v>
      </c>
      <c r="F93">
        <v>19592</v>
      </c>
      <c r="G93">
        <v>56.63</v>
      </c>
      <c r="H93">
        <v>4616</v>
      </c>
      <c r="I93">
        <v>23.56</v>
      </c>
      <c r="J93" t="s">
        <v>27</v>
      </c>
      <c r="K93">
        <v>870</v>
      </c>
      <c r="L93" t="s">
        <v>28</v>
      </c>
      <c r="M93">
        <v>4</v>
      </c>
      <c r="N93">
        <v>3</v>
      </c>
      <c r="O93">
        <v>20316</v>
      </c>
      <c r="P93">
        <v>724</v>
      </c>
      <c r="Q93">
        <v>25</v>
      </c>
      <c r="R93">
        <v>5980</v>
      </c>
      <c r="S93">
        <v>717</v>
      </c>
      <c r="T93">
        <v>3780</v>
      </c>
      <c r="U93">
        <v>1.0195920000000001</v>
      </c>
      <c r="V93">
        <v>1.037463</v>
      </c>
      <c r="W93">
        <v>3.4563000000000003E-2</v>
      </c>
      <c r="X93">
        <v>6.1468000000000002E-2</v>
      </c>
      <c r="Y93">
        <v>2.1532640000000001</v>
      </c>
    </row>
    <row r="94" spans="1:25" x14ac:dyDescent="0.2">
      <c r="A94" t="s">
        <v>25</v>
      </c>
      <c r="B94" t="s">
        <v>26</v>
      </c>
      <c r="C94">
        <v>34596</v>
      </c>
      <c r="D94">
        <v>15004</v>
      </c>
      <c r="E94">
        <v>43.37</v>
      </c>
      <c r="F94">
        <v>19592</v>
      </c>
      <c r="G94">
        <v>56.63</v>
      </c>
      <c r="H94">
        <v>4616</v>
      </c>
      <c r="I94">
        <v>23.56</v>
      </c>
      <c r="J94" t="s">
        <v>27</v>
      </c>
      <c r="K94">
        <v>870</v>
      </c>
      <c r="L94" t="s">
        <v>28</v>
      </c>
      <c r="M94">
        <v>4</v>
      </c>
      <c r="N94">
        <v>4</v>
      </c>
      <c r="O94">
        <v>20703</v>
      </c>
      <c r="P94">
        <v>1111</v>
      </c>
      <c r="Q94">
        <v>26</v>
      </c>
      <c r="R94">
        <v>5980</v>
      </c>
      <c r="S94">
        <v>908</v>
      </c>
      <c r="T94">
        <v>3960</v>
      </c>
      <c r="U94">
        <v>1.475122</v>
      </c>
      <c r="V94">
        <v>0.95184800000000003</v>
      </c>
      <c r="W94">
        <v>3.7405000000000001E-2</v>
      </c>
      <c r="X94">
        <v>5.3813E-2</v>
      </c>
      <c r="Y94">
        <v>2.5183689999999999</v>
      </c>
    </row>
    <row r="95" spans="1:25" x14ac:dyDescent="0.2">
      <c r="A95" t="s">
        <v>25</v>
      </c>
      <c r="B95" t="s">
        <v>26</v>
      </c>
      <c r="C95">
        <v>34596</v>
      </c>
      <c r="D95">
        <v>15004</v>
      </c>
      <c r="E95">
        <v>43.37</v>
      </c>
      <c r="F95">
        <v>19592</v>
      </c>
      <c r="G95">
        <v>56.63</v>
      </c>
      <c r="H95">
        <v>4616</v>
      </c>
      <c r="I95">
        <v>23.56</v>
      </c>
      <c r="J95" t="s">
        <v>27</v>
      </c>
      <c r="K95">
        <v>870</v>
      </c>
      <c r="L95" t="s">
        <v>28</v>
      </c>
      <c r="M95">
        <v>4</v>
      </c>
      <c r="N95">
        <v>3</v>
      </c>
      <c r="O95">
        <v>20479</v>
      </c>
      <c r="P95">
        <v>887</v>
      </c>
      <c r="Q95">
        <v>25</v>
      </c>
      <c r="R95">
        <v>5976</v>
      </c>
      <c r="S95">
        <v>583</v>
      </c>
      <c r="T95">
        <v>3780</v>
      </c>
      <c r="U95">
        <v>1.0761719999999999</v>
      </c>
      <c r="V95">
        <v>0.94867100000000004</v>
      </c>
      <c r="W95">
        <v>3.7725000000000002E-2</v>
      </c>
      <c r="X95">
        <v>3.0748000000000001E-2</v>
      </c>
      <c r="Y95">
        <v>2.0935600000000001</v>
      </c>
    </row>
    <row r="96" spans="1:25" x14ac:dyDescent="0.2">
      <c r="N96">
        <f>AVERAGE(Tabella1[number_of_bsss_used])</f>
        <v>3.8297872340425534</v>
      </c>
      <c r="O96">
        <f>AVERAGE(Tabella1[cumulative_energy_used_by_uavs])</f>
        <v>20161.936170212764</v>
      </c>
      <c r="P96">
        <f>AVERAGE(Tabella1[cumulative_energy_wasted_by_uavs])</f>
        <v>569.936170212766</v>
      </c>
      <c r="Q96">
        <f>AVERAGE(Tabella1[cumulative_number_of_batteries_used_by_uavs])</f>
        <v>24.393617021276597</v>
      </c>
      <c r="R96">
        <f>AVERAGE(Tabella1[mission_time_seconds])</f>
        <v>5864.7659574468089</v>
      </c>
      <c r="S96">
        <f>AVERAGE(Tabella1[bsss_mission_time_seconds])</f>
        <v>561.82978723404256</v>
      </c>
      <c r="T96">
        <f>AVERAGE(Tabella1[cumulative_swap_time_seconds])</f>
        <v>3670.8510638297871</v>
      </c>
      <c r="U96">
        <f>AVERAGE(Tabella1[darp_execution_time_seconds])</f>
        <v>0.93089501063829838</v>
      </c>
      <c r="V96">
        <f>AVERAGE(Tabella1[stc_execution_time_seconds])</f>
        <v>1.0794628617021274</v>
      </c>
      <c r="W96">
        <f>AVERAGE(Tabella1[pp_uavs_execution_time_seconds])</f>
        <v>4.068070212765957E-2</v>
      </c>
      <c r="X96">
        <f>AVERAGE(Tabella1[pp_bsss_execution_time_seconds])</f>
        <v>9.5988595744680869E-2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6"/>
  <sheetViews>
    <sheetView workbookViewId="0">
      <selection sqref="A1:A1048576"/>
    </sheetView>
  </sheetViews>
  <sheetFormatPr baseColWidth="10" defaultRowHeight="16" x14ac:dyDescent="0.2"/>
  <sheetData>
    <row r="1" spans="1:8" x14ac:dyDescent="0.2">
      <c r="A1" t="s">
        <v>29</v>
      </c>
      <c r="B1">
        <v>857</v>
      </c>
      <c r="C1">
        <v>848</v>
      </c>
      <c r="D1">
        <v>862</v>
      </c>
      <c r="E1">
        <v>826</v>
      </c>
      <c r="F1">
        <v>860</v>
      </c>
      <c r="G1">
        <v>643</v>
      </c>
    </row>
    <row r="2" spans="1:8" x14ac:dyDescent="0.2">
      <c r="A2" t="s">
        <v>30</v>
      </c>
      <c r="B2">
        <v>870</v>
      </c>
      <c r="C2">
        <v>869</v>
      </c>
      <c r="D2">
        <v>862</v>
      </c>
      <c r="E2">
        <v>842</v>
      </c>
      <c r="F2">
        <v>864</v>
      </c>
      <c r="G2">
        <v>593</v>
      </c>
    </row>
    <row r="3" spans="1:8" x14ac:dyDescent="0.2">
      <c r="A3" t="s">
        <v>31</v>
      </c>
      <c r="B3">
        <v>803</v>
      </c>
      <c r="C3">
        <v>814</v>
      </c>
      <c r="D3">
        <v>517</v>
      </c>
      <c r="E3">
        <v>869</v>
      </c>
      <c r="F3">
        <v>868</v>
      </c>
      <c r="G3">
        <v>820</v>
      </c>
      <c r="H3">
        <v>209</v>
      </c>
    </row>
    <row r="4" spans="1:8" x14ac:dyDescent="0.2">
      <c r="A4" t="s">
        <v>32</v>
      </c>
      <c r="B4">
        <v>402</v>
      </c>
      <c r="C4">
        <v>817</v>
      </c>
      <c r="D4">
        <v>862</v>
      </c>
      <c r="E4">
        <v>842</v>
      </c>
      <c r="F4">
        <v>850</v>
      </c>
      <c r="G4">
        <v>627</v>
      </c>
      <c r="H4">
        <v>496</v>
      </c>
    </row>
    <row r="5" spans="1:8" x14ac:dyDescent="0.2">
      <c r="A5" t="s">
        <v>29</v>
      </c>
      <c r="B5">
        <v>837</v>
      </c>
      <c r="C5">
        <v>869</v>
      </c>
      <c r="D5">
        <v>859</v>
      </c>
      <c r="E5">
        <v>826</v>
      </c>
      <c r="F5">
        <v>846</v>
      </c>
      <c r="G5">
        <v>659</v>
      </c>
    </row>
    <row r="6" spans="1:8" x14ac:dyDescent="0.2">
      <c r="A6" t="s">
        <v>30</v>
      </c>
      <c r="B6">
        <v>867</v>
      </c>
      <c r="C6">
        <v>852</v>
      </c>
      <c r="D6">
        <v>870</v>
      </c>
      <c r="E6">
        <v>844</v>
      </c>
      <c r="F6">
        <v>854</v>
      </c>
      <c r="G6">
        <v>613</v>
      </c>
    </row>
    <row r="7" spans="1:8" x14ac:dyDescent="0.2">
      <c r="A7" t="s">
        <v>31</v>
      </c>
      <c r="B7">
        <v>861</v>
      </c>
      <c r="C7">
        <v>868</v>
      </c>
      <c r="D7">
        <v>850</v>
      </c>
      <c r="E7">
        <v>752</v>
      </c>
      <c r="F7">
        <v>735</v>
      </c>
      <c r="G7">
        <v>829</v>
      </c>
      <c r="H7">
        <v>5</v>
      </c>
    </row>
    <row r="8" spans="1:8" x14ac:dyDescent="0.2">
      <c r="A8" t="s">
        <v>32</v>
      </c>
      <c r="B8">
        <v>827</v>
      </c>
      <c r="C8">
        <v>869</v>
      </c>
      <c r="D8">
        <v>841</v>
      </c>
      <c r="E8">
        <v>844</v>
      </c>
      <c r="F8">
        <v>870</v>
      </c>
      <c r="G8">
        <v>645</v>
      </c>
    </row>
    <row r="9" spans="1:8" x14ac:dyDescent="0.2">
      <c r="A9" t="s">
        <v>29</v>
      </c>
      <c r="B9">
        <v>833</v>
      </c>
      <c r="C9">
        <v>869</v>
      </c>
      <c r="D9">
        <v>839</v>
      </c>
      <c r="E9">
        <v>838</v>
      </c>
      <c r="F9">
        <v>868</v>
      </c>
      <c r="G9">
        <v>653</v>
      </c>
    </row>
    <row r="10" spans="1:8" x14ac:dyDescent="0.2">
      <c r="A10" t="s">
        <v>30</v>
      </c>
      <c r="B10">
        <v>869</v>
      </c>
      <c r="C10">
        <v>869</v>
      </c>
      <c r="D10">
        <v>850</v>
      </c>
      <c r="E10">
        <v>835</v>
      </c>
      <c r="F10">
        <v>864</v>
      </c>
      <c r="G10">
        <v>609</v>
      </c>
    </row>
    <row r="11" spans="1:8" x14ac:dyDescent="0.2">
      <c r="A11" t="s">
        <v>31</v>
      </c>
      <c r="B11">
        <v>867</v>
      </c>
      <c r="C11">
        <v>868</v>
      </c>
      <c r="D11">
        <v>862</v>
      </c>
      <c r="E11">
        <v>830</v>
      </c>
      <c r="F11">
        <v>870</v>
      </c>
      <c r="G11">
        <v>599</v>
      </c>
    </row>
    <row r="12" spans="1:8" x14ac:dyDescent="0.2">
      <c r="A12" t="s">
        <v>32</v>
      </c>
      <c r="B12">
        <v>849</v>
      </c>
      <c r="C12">
        <v>862</v>
      </c>
      <c r="D12">
        <v>864</v>
      </c>
      <c r="E12">
        <v>850</v>
      </c>
      <c r="F12">
        <v>870</v>
      </c>
      <c r="G12">
        <v>605</v>
      </c>
    </row>
    <row r="13" spans="1:8" x14ac:dyDescent="0.2">
      <c r="A13" t="s">
        <v>29</v>
      </c>
      <c r="B13">
        <v>849</v>
      </c>
      <c r="C13">
        <v>850</v>
      </c>
      <c r="D13">
        <v>848</v>
      </c>
      <c r="E13">
        <v>850</v>
      </c>
      <c r="F13">
        <v>870</v>
      </c>
      <c r="G13">
        <v>629</v>
      </c>
    </row>
    <row r="14" spans="1:8" x14ac:dyDescent="0.2">
      <c r="A14" t="s">
        <v>30</v>
      </c>
      <c r="B14">
        <v>851</v>
      </c>
      <c r="C14">
        <v>864</v>
      </c>
      <c r="D14">
        <v>854</v>
      </c>
      <c r="E14">
        <v>838</v>
      </c>
      <c r="F14">
        <v>864</v>
      </c>
      <c r="G14">
        <v>629</v>
      </c>
    </row>
    <row r="15" spans="1:8" x14ac:dyDescent="0.2">
      <c r="A15" t="s">
        <v>31</v>
      </c>
      <c r="B15">
        <v>853</v>
      </c>
      <c r="C15">
        <v>866</v>
      </c>
      <c r="D15">
        <v>860</v>
      </c>
      <c r="E15">
        <v>492</v>
      </c>
      <c r="F15">
        <v>816</v>
      </c>
      <c r="G15">
        <v>829</v>
      </c>
      <c r="H15">
        <v>184</v>
      </c>
    </row>
    <row r="16" spans="1:8" x14ac:dyDescent="0.2">
      <c r="A16" t="s">
        <v>32</v>
      </c>
      <c r="B16">
        <v>839</v>
      </c>
      <c r="C16">
        <v>866</v>
      </c>
      <c r="D16">
        <v>870</v>
      </c>
      <c r="E16">
        <v>838</v>
      </c>
      <c r="F16">
        <v>866</v>
      </c>
      <c r="G16">
        <v>617</v>
      </c>
    </row>
    <row r="17" spans="1:7" x14ac:dyDescent="0.2">
      <c r="A17" t="s">
        <v>29</v>
      </c>
      <c r="B17">
        <v>865</v>
      </c>
      <c r="C17">
        <v>869</v>
      </c>
      <c r="D17">
        <v>870</v>
      </c>
      <c r="E17">
        <v>850</v>
      </c>
      <c r="F17">
        <v>869</v>
      </c>
      <c r="G17">
        <v>573</v>
      </c>
    </row>
    <row r="18" spans="1:7" x14ac:dyDescent="0.2">
      <c r="A18" t="s">
        <v>30</v>
      </c>
      <c r="B18">
        <v>867</v>
      </c>
      <c r="C18">
        <v>832</v>
      </c>
      <c r="D18">
        <v>854</v>
      </c>
      <c r="E18">
        <v>850</v>
      </c>
      <c r="F18">
        <v>860</v>
      </c>
      <c r="G18">
        <v>637</v>
      </c>
    </row>
    <row r="19" spans="1:7" x14ac:dyDescent="0.2">
      <c r="A19" t="s">
        <v>31</v>
      </c>
      <c r="B19">
        <v>859</v>
      </c>
      <c r="C19">
        <v>866</v>
      </c>
      <c r="D19">
        <v>862</v>
      </c>
      <c r="E19">
        <v>824</v>
      </c>
      <c r="F19">
        <v>796</v>
      </c>
      <c r="G19">
        <v>689</v>
      </c>
    </row>
    <row r="20" spans="1:7" x14ac:dyDescent="0.2">
      <c r="A20" t="s">
        <v>32</v>
      </c>
      <c r="B20">
        <v>870</v>
      </c>
      <c r="C20">
        <v>857</v>
      </c>
      <c r="D20">
        <v>856</v>
      </c>
      <c r="E20">
        <v>850</v>
      </c>
      <c r="F20">
        <v>864</v>
      </c>
      <c r="G20">
        <v>603</v>
      </c>
    </row>
    <row r="21" spans="1:7" x14ac:dyDescent="0.2">
      <c r="A21" t="s">
        <v>29</v>
      </c>
      <c r="B21">
        <v>849</v>
      </c>
      <c r="C21">
        <v>866</v>
      </c>
      <c r="D21">
        <v>854</v>
      </c>
      <c r="E21">
        <v>840</v>
      </c>
      <c r="F21">
        <v>862</v>
      </c>
      <c r="G21">
        <v>629</v>
      </c>
    </row>
    <row r="22" spans="1:7" x14ac:dyDescent="0.2">
      <c r="A22" t="s">
        <v>30</v>
      </c>
      <c r="B22">
        <v>869</v>
      </c>
      <c r="C22">
        <v>869</v>
      </c>
      <c r="D22">
        <v>849</v>
      </c>
      <c r="E22">
        <v>822</v>
      </c>
      <c r="F22">
        <v>868</v>
      </c>
      <c r="G22">
        <v>619</v>
      </c>
    </row>
    <row r="23" spans="1:7" x14ac:dyDescent="0.2">
      <c r="A23" t="s">
        <v>31</v>
      </c>
      <c r="B23">
        <v>863</v>
      </c>
      <c r="C23">
        <v>852</v>
      </c>
      <c r="D23">
        <v>856</v>
      </c>
      <c r="E23">
        <v>830</v>
      </c>
      <c r="F23">
        <v>717</v>
      </c>
      <c r="G23">
        <v>778</v>
      </c>
    </row>
    <row r="24" spans="1:7" x14ac:dyDescent="0.2">
      <c r="A24" t="s">
        <v>32</v>
      </c>
      <c r="B24">
        <v>870</v>
      </c>
      <c r="C24">
        <v>867</v>
      </c>
      <c r="D24">
        <v>820</v>
      </c>
      <c r="E24">
        <v>814</v>
      </c>
      <c r="F24">
        <v>790</v>
      </c>
      <c r="G24">
        <v>739</v>
      </c>
    </row>
    <row r="25" spans="1:7" x14ac:dyDescent="0.2">
      <c r="A25" t="s">
        <v>29</v>
      </c>
      <c r="B25">
        <v>853</v>
      </c>
      <c r="C25">
        <v>869</v>
      </c>
      <c r="D25">
        <v>843</v>
      </c>
      <c r="E25">
        <v>850</v>
      </c>
      <c r="F25">
        <v>868</v>
      </c>
      <c r="G25">
        <v>617</v>
      </c>
    </row>
    <row r="26" spans="1:7" x14ac:dyDescent="0.2">
      <c r="A26" t="s">
        <v>30</v>
      </c>
      <c r="B26">
        <v>865</v>
      </c>
      <c r="C26">
        <v>866</v>
      </c>
      <c r="D26">
        <v>868</v>
      </c>
      <c r="E26">
        <v>844</v>
      </c>
      <c r="F26">
        <v>862</v>
      </c>
      <c r="G26">
        <v>591</v>
      </c>
    </row>
    <row r="27" spans="1:7" x14ac:dyDescent="0.2">
      <c r="A27" t="s">
        <v>31</v>
      </c>
      <c r="B27">
        <v>843</v>
      </c>
      <c r="C27">
        <v>869</v>
      </c>
      <c r="D27">
        <v>870</v>
      </c>
      <c r="E27">
        <v>849</v>
      </c>
      <c r="F27">
        <v>697</v>
      </c>
      <c r="G27">
        <v>768</v>
      </c>
    </row>
    <row r="28" spans="1:7" x14ac:dyDescent="0.2">
      <c r="A28" t="s">
        <v>32</v>
      </c>
      <c r="B28">
        <v>803</v>
      </c>
      <c r="C28">
        <v>864</v>
      </c>
      <c r="D28">
        <v>864</v>
      </c>
      <c r="E28">
        <v>850</v>
      </c>
      <c r="F28">
        <v>862</v>
      </c>
      <c r="G28">
        <v>657</v>
      </c>
    </row>
    <row r="29" spans="1:7" x14ac:dyDescent="0.2">
      <c r="A29" t="s">
        <v>29</v>
      </c>
      <c r="B29">
        <v>841</v>
      </c>
      <c r="C29">
        <v>869</v>
      </c>
      <c r="D29">
        <v>870</v>
      </c>
      <c r="E29">
        <v>838</v>
      </c>
      <c r="F29">
        <v>851</v>
      </c>
      <c r="G29">
        <v>627</v>
      </c>
    </row>
    <row r="30" spans="1:7" x14ac:dyDescent="0.2">
      <c r="A30" t="s">
        <v>30</v>
      </c>
      <c r="B30">
        <v>857</v>
      </c>
      <c r="C30">
        <v>862</v>
      </c>
      <c r="D30">
        <v>860</v>
      </c>
      <c r="E30">
        <v>846</v>
      </c>
      <c r="F30">
        <v>870</v>
      </c>
      <c r="G30">
        <v>601</v>
      </c>
    </row>
    <row r="31" spans="1:7" x14ac:dyDescent="0.2">
      <c r="A31" t="s">
        <v>31</v>
      </c>
      <c r="B31">
        <v>870</v>
      </c>
      <c r="C31">
        <v>859</v>
      </c>
      <c r="D31">
        <v>858</v>
      </c>
      <c r="E31">
        <v>748</v>
      </c>
      <c r="F31">
        <v>745</v>
      </c>
      <c r="G31">
        <v>820</v>
      </c>
    </row>
    <row r="32" spans="1:7" x14ac:dyDescent="0.2">
      <c r="A32" t="s">
        <v>32</v>
      </c>
      <c r="B32">
        <v>862</v>
      </c>
      <c r="C32">
        <v>827</v>
      </c>
      <c r="D32">
        <v>828</v>
      </c>
      <c r="E32">
        <v>846</v>
      </c>
      <c r="F32">
        <v>858</v>
      </c>
      <c r="G32">
        <v>679</v>
      </c>
    </row>
    <row r="33" spans="1:8" x14ac:dyDescent="0.2">
      <c r="A33" t="s">
        <v>29</v>
      </c>
      <c r="B33">
        <v>861</v>
      </c>
      <c r="C33">
        <v>864</v>
      </c>
      <c r="D33">
        <v>870</v>
      </c>
      <c r="E33">
        <v>824</v>
      </c>
      <c r="F33">
        <v>868</v>
      </c>
      <c r="G33">
        <v>613</v>
      </c>
    </row>
    <row r="34" spans="1:8" x14ac:dyDescent="0.2">
      <c r="A34" t="s">
        <v>30</v>
      </c>
      <c r="B34">
        <v>813</v>
      </c>
      <c r="C34">
        <v>860</v>
      </c>
      <c r="D34">
        <v>860</v>
      </c>
      <c r="E34">
        <v>848</v>
      </c>
      <c r="F34">
        <v>840</v>
      </c>
      <c r="G34">
        <v>675</v>
      </c>
    </row>
    <row r="35" spans="1:8" x14ac:dyDescent="0.2">
      <c r="A35" t="s">
        <v>31</v>
      </c>
      <c r="B35">
        <v>870</v>
      </c>
      <c r="C35">
        <v>853</v>
      </c>
      <c r="D35">
        <v>858</v>
      </c>
      <c r="E35">
        <v>848</v>
      </c>
      <c r="F35">
        <v>739</v>
      </c>
      <c r="G35">
        <v>732</v>
      </c>
    </row>
    <row r="36" spans="1:8" x14ac:dyDescent="0.2">
      <c r="A36" t="s">
        <v>32</v>
      </c>
      <c r="B36">
        <v>861</v>
      </c>
      <c r="C36">
        <v>866</v>
      </c>
      <c r="D36">
        <v>860</v>
      </c>
      <c r="E36">
        <v>850</v>
      </c>
      <c r="F36">
        <v>870</v>
      </c>
      <c r="G36">
        <v>589</v>
      </c>
    </row>
    <row r="37" spans="1:8" x14ac:dyDescent="0.2">
      <c r="A37" t="s">
        <v>29</v>
      </c>
      <c r="B37">
        <v>853</v>
      </c>
      <c r="C37">
        <v>869</v>
      </c>
      <c r="D37">
        <v>835</v>
      </c>
      <c r="E37">
        <v>838</v>
      </c>
      <c r="F37">
        <v>864</v>
      </c>
      <c r="G37">
        <v>637</v>
      </c>
    </row>
    <row r="38" spans="1:8" x14ac:dyDescent="0.2">
      <c r="A38" t="s">
        <v>30</v>
      </c>
      <c r="B38">
        <v>870</v>
      </c>
      <c r="C38">
        <v>857</v>
      </c>
      <c r="D38">
        <v>870</v>
      </c>
      <c r="E38">
        <v>836</v>
      </c>
      <c r="F38">
        <v>870</v>
      </c>
      <c r="G38">
        <v>593</v>
      </c>
    </row>
    <row r="39" spans="1:8" x14ac:dyDescent="0.2">
      <c r="A39" t="s">
        <v>31</v>
      </c>
      <c r="B39">
        <v>870</v>
      </c>
      <c r="C39">
        <v>851</v>
      </c>
      <c r="D39">
        <v>860</v>
      </c>
      <c r="E39">
        <v>820</v>
      </c>
      <c r="F39">
        <v>731</v>
      </c>
      <c r="G39">
        <v>768</v>
      </c>
    </row>
    <row r="40" spans="1:8" x14ac:dyDescent="0.2">
      <c r="A40" t="s">
        <v>32</v>
      </c>
      <c r="B40">
        <v>490</v>
      </c>
      <c r="C40">
        <v>791</v>
      </c>
      <c r="D40">
        <v>864</v>
      </c>
      <c r="E40">
        <v>864</v>
      </c>
      <c r="F40">
        <v>866</v>
      </c>
      <c r="G40">
        <v>740</v>
      </c>
      <c r="H40">
        <v>285</v>
      </c>
    </row>
    <row r="41" spans="1:8" x14ac:dyDescent="0.2">
      <c r="A41" t="s">
        <v>29</v>
      </c>
      <c r="B41">
        <v>861</v>
      </c>
      <c r="C41">
        <v>869</v>
      </c>
      <c r="D41">
        <v>870</v>
      </c>
      <c r="E41">
        <v>835</v>
      </c>
      <c r="F41">
        <v>868</v>
      </c>
      <c r="G41">
        <v>597</v>
      </c>
    </row>
    <row r="42" spans="1:8" x14ac:dyDescent="0.2">
      <c r="A42" t="s">
        <v>30</v>
      </c>
      <c r="B42">
        <v>835</v>
      </c>
      <c r="C42">
        <v>840</v>
      </c>
      <c r="D42">
        <v>866</v>
      </c>
      <c r="E42">
        <v>848</v>
      </c>
      <c r="F42">
        <v>866</v>
      </c>
      <c r="G42">
        <v>641</v>
      </c>
    </row>
    <row r="43" spans="1:8" x14ac:dyDescent="0.2">
      <c r="A43" t="s">
        <v>31</v>
      </c>
      <c r="B43">
        <v>867</v>
      </c>
      <c r="C43">
        <v>854</v>
      </c>
      <c r="D43">
        <v>858</v>
      </c>
      <c r="E43">
        <v>832</v>
      </c>
      <c r="F43">
        <v>747</v>
      </c>
      <c r="G43">
        <v>738</v>
      </c>
    </row>
    <row r="44" spans="1:8" x14ac:dyDescent="0.2">
      <c r="A44" t="s">
        <v>32</v>
      </c>
      <c r="B44">
        <v>853</v>
      </c>
      <c r="C44">
        <v>862</v>
      </c>
      <c r="D44">
        <v>860</v>
      </c>
      <c r="E44">
        <v>850</v>
      </c>
      <c r="F44">
        <v>501</v>
      </c>
      <c r="G44">
        <v>829</v>
      </c>
      <c r="H44">
        <v>145</v>
      </c>
    </row>
    <row r="45" spans="1:8" x14ac:dyDescent="0.2">
      <c r="A45" t="s">
        <v>29</v>
      </c>
      <c r="B45">
        <v>857</v>
      </c>
      <c r="C45">
        <v>868</v>
      </c>
      <c r="D45">
        <v>866</v>
      </c>
      <c r="E45">
        <v>844</v>
      </c>
      <c r="F45">
        <v>864</v>
      </c>
      <c r="G45">
        <v>597</v>
      </c>
    </row>
    <row r="46" spans="1:8" x14ac:dyDescent="0.2">
      <c r="A46" t="s">
        <v>30</v>
      </c>
      <c r="B46">
        <v>867</v>
      </c>
      <c r="C46">
        <v>869</v>
      </c>
      <c r="D46">
        <v>845</v>
      </c>
      <c r="E46">
        <v>848</v>
      </c>
      <c r="F46">
        <v>866</v>
      </c>
      <c r="G46">
        <v>605</v>
      </c>
    </row>
    <row r="47" spans="1:8" x14ac:dyDescent="0.2">
      <c r="A47" t="s">
        <v>31</v>
      </c>
      <c r="B47">
        <v>870</v>
      </c>
      <c r="C47">
        <v>863</v>
      </c>
      <c r="D47">
        <v>870</v>
      </c>
      <c r="E47">
        <v>784</v>
      </c>
      <c r="F47">
        <v>767</v>
      </c>
      <c r="G47">
        <v>746</v>
      </c>
    </row>
    <row r="48" spans="1:8" x14ac:dyDescent="0.2">
      <c r="A48" t="s">
        <v>32</v>
      </c>
      <c r="B48">
        <v>797</v>
      </c>
      <c r="C48">
        <v>862</v>
      </c>
      <c r="D48">
        <v>868</v>
      </c>
      <c r="E48">
        <v>846</v>
      </c>
      <c r="F48">
        <v>852</v>
      </c>
      <c r="G48">
        <v>671</v>
      </c>
    </row>
    <row r="49" spans="1:8" x14ac:dyDescent="0.2">
      <c r="A49" t="s">
        <v>29</v>
      </c>
      <c r="B49">
        <v>870</v>
      </c>
      <c r="C49">
        <v>859</v>
      </c>
      <c r="D49">
        <v>854</v>
      </c>
      <c r="E49">
        <v>846</v>
      </c>
      <c r="F49">
        <v>870</v>
      </c>
      <c r="G49">
        <v>601</v>
      </c>
    </row>
    <row r="50" spans="1:8" x14ac:dyDescent="0.2">
      <c r="A50" t="s">
        <v>30</v>
      </c>
      <c r="B50">
        <v>843</v>
      </c>
      <c r="C50">
        <v>856</v>
      </c>
      <c r="D50">
        <v>848</v>
      </c>
      <c r="E50">
        <v>814</v>
      </c>
      <c r="F50">
        <v>860</v>
      </c>
      <c r="G50">
        <v>679</v>
      </c>
    </row>
    <row r="51" spans="1:8" x14ac:dyDescent="0.2">
      <c r="A51" t="s">
        <v>31</v>
      </c>
      <c r="B51">
        <v>855</v>
      </c>
      <c r="C51">
        <v>869</v>
      </c>
      <c r="D51">
        <v>869</v>
      </c>
      <c r="E51">
        <v>844</v>
      </c>
      <c r="F51">
        <v>847</v>
      </c>
      <c r="G51">
        <v>612</v>
      </c>
    </row>
    <row r="52" spans="1:8" x14ac:dyDescent="0.2">
      <c r="A52" t="s">
        <v>32</v>
      </c>
      <c r="B52">
        <v>863</v>
      </c>
      <c r="C52">
        <v>869</v>
      </c>
      <c r="D52">
        <v>851</v>
      </c>
      <c r="E52">
        <v>842</v>
      </c>
      <c r="F52">
        <v>870</v>
      </c>
      <c r="G52">
        <v>601</v>
      </c>
    </row>
    <row r="53" spans="1:8" x14ac:dyDescent="0.2">
      <c r="A53" t="s">
        <v>29</v>
      </c>
      <c r="B53">
        <v>861</v>
      </c>
      <c r="C53">
        <v>864</v>
      </c>
      <c r="D53">
        <v>864</v>
      </c>
      <c r="E53">
        <v>824</v>
      </c>
      <c r="F53">
        <v>864</v>
      </c>
      <c r="G53">
        <v>623</v>
      </c>
    </row>
    <row r="54" spans="1:8" x14ac:dyDescent="0.2">
      <c r="A54" t="s">
        <v>30</v>
      </c>
      <c r="B54">
        <v>870</v>
      </c>
      <c r="C54">
        <v>859</v>
      </c>
      <c r="D54">
        <v>844</v>
      </c>
      <c r="E54">
        <v>850</v>
      </c>
      <c r="F54">
        <v>870</v>
      </c>
      <c r="G54">
        <v>603</v>
      </c>
    </row>
    <row r="55" spans="1:8" x14ac:dyDescent="0.2">
      <c r="A55" t="s">
        <v>31</v>
      </c>
      <c r="B55">
        <v>865</v>
      </c>
      <c r="C55">
        <v>854</v>
      </c>
      <c r="D55">
        <v>854</v>
      </c>
      <c r="E55">
        <v>848</v>
      </c>
      <c r="F55">
        <v>729</v>
      </c>
      <c r="G55">
        <v>746</v>
      </c>
    </row>
    <row r="56" spans="1:8" x14ac:dyDescent="0.2">
      <c r="A56" t="s">
        <v>32</v>
      </c>
      <c r="B56">
        <v>516</v>
      </c>
      <c r="C56">
        <v>829</v>
      </c>
      <c r="D56">
        <v>869</v>
      </c>
      <c r="E56">
        <v>849</v>
      </c>
      <c r="F56">
        <v>866</v>
      </c>
      <c r="G56">
        <v>825</v>
      </c>
      <c r="H56">
        <v>146</v>
      </c>
    </row>
    <row r="57" spans="1:8" x14ac:dyDescent="0.2">
      <c r="A57" t="s">
        <v>29</v>
      </c>
      <c r="B57">
        <v>857</v>
      </c>
      <c r="C57">
        <v>860</v>
      </c>
      <c r="D57">
        <v>866</v>
      </c>
      <c r="E57">
        <v>850</v>
      </c>
      <c r="F57">
        <v>856</v>
      </c>
      <c r="G57">
        <v>611</v>
      </c>
    </row>
    <row r="58" spans="1:8" x14ac:dyDescent="0.2">
      <c r="A58" t="s">
        <v>30</v>
      </c>
      <c r="B58">
        <v>869</v>
      </c>
      <c r="C58">
        <v>828</v>
      </c>
      <c r="D58">
        <v>854</v>
      </c>
      <c r="E58">
        <v>850</v>
      </c>
      <c r="F58">
        <v>854</v>
      </c>
      <c r="G58">
        <v>641</v>
      </c>
    </row>
    <row r="59" spans="1:8" x14ac:dyDescent="0.2">
      <c r="A59" t="s">
        <v>31</v>
      </c>
      <c r="B59">
        <v>865</v>
      </c>
      <c r="C59">
        <v>842</v>
      </c>
      <c r="D59">
        <v>854</v>
      </c>
      <c r="E59">
        <v>850</v>
      </c>
      <c r="F59">
        <v>731</v>
      </c>
      <c r="G59">
        <v>754</v>
      </c>
    </row>
    <row r="60" spans="1:8" x14ac:dyDescent="0.2">
      <c r="A60" t="s">
        <v>32</v>
      </c>
      <c r="B60">
        <v>870</v>
      </c>
      <c r="C60">
        <v>863</v>
      </c>
      <c r="D60">
        <v>860</v>
      </c>
      <c r="E60">
        <v>840</v>
      </c>
      <c r="F60">
        <v>868</v>
      </c>
      <c r="G60">
        <v>599</v>
      </c>
    </row>
    <row r="61" spans="1:8" x14ac:dyDescent="0.2">
      <c r="A61" t="s">
        <v>29</v>
      </c>
      <c r="B61">
        <v>870</v>
      </c>
      <c r="C61">
        <v>847</v>
      </c>
      <c r="D61">
        <v>860</v>
      </c>
      <c r="E61">
        <v>804</v>
      </c>
      <c r="F61">
        <v>850</v>
      </c>
      <c r="G61">
        <v>665</v>
      </c>
    </row>
    <row r="62" spans="1:8" x14ac:dyDescent="0.2">
      <c r="A62" t="s">
        <v>30</v>
      </c>
      <c r="B62">
        <v>867</v>
      </c>
      <c r="C62">
        <v>836</v>
      </c>
      <c r="D62">
        <v>828</v>
      </c>
      <c r="E62">
        <v>840</v>
      </c>
      <c r="F62">
        <v>860</v>
      </c>
      <c r="G62">
        <v>669</v>
      </c>
    </row>
    <row r="63" spans="1:8" x14ac:dyDescent="0.2">
      <c r="A63" t="s">
        <v>31</v>
      </c>
      <c r="B63">
        <v>855</v>
      </c>
      <c r="C63">
        <v>858</v>
      </c>
      <c r="D63">
        <v>870</v>
      </c>
      <c r="E63">
        <v>838</v>
      </c>
      <c r="F63">
        <v>778</v>
      </c>
      <c r="G63">
        <v>701</v>
      </c>
    </row>
    <row r="64" spans="1:8" x14ac:dyDescent="0.2">
      <c r="A64" t="s">
        <v>32</v>
      </c>
      <c r="B64">
        <v>861</v>
      </c>
      <c r="C64">
        <v>852</v>
      </c>
      <c r="D64">
        <v>866</v>
      </c>
      <c r="E64">
        <v>846</v>
      </c>
      <c r="F64">
        <v>852</v>
      </c>
      <c r="G64">
        <v>619</v>
      </c>
    </row>
    <row r="65" spans="1:8" x14ac:dyDescent="0.2">
      <c r="A65" t="s">
        <v>29</v>
      </c>
      <c r="B65">
        <v>870</v>
      </c>
      <c r="C65">
        <v>869</v>
      </c>
      <c r="D65">
        <v>867</v>
      </c>
      <c r="E65">
        <v>849</v>
      </c>
      <c r="F65">
        <v>868</v>
      </c>
      <c r="G65">
        <v>577</v>
      </c>
    </row>
    <row r="66" spans="1:8" x14ac:dyDescent="0.2">
      <c r="A66" t="s">
        <v>30</v>
      </c>
      <c r="B66">
        <v>833</v>
      </c>
      <c r="C66">
        <v>862</v>
      </c>
      <c r="D66">
        <v>862</v>
      </c>
      <c r="E66">
        <v>848</v>
      </c>
      <c r="F66">
        <v>864</v>
      </c>
      <c r="G66">
        <v>627</v>
      </c>
    </row>
    <row r="67" spans="1:8" x14ac:dyDescent="0.2">
      <c r="A67" t="s">
        <v>31</v>
      </c>
      <c r="B67">
        <v>859</v>
      </c>
      <c r="C67">
        <v>844</v>
      </c>
      <c r="D67">
        <v>832</v>
      </c>
      <c r="E67">
        <v>822</v>
      </c>
      <c r="F67">
        <v>870</v>
      </c>
      <c r="G67">
        <v>673</v>
      </c>
    </row>
    <row r="68" spans="1:8" x14ac:dyDescent="0.2">
      <c r="A68" t="s">
        <v>32</v>
      </c>
      <c r="B68">
        <v>795</v>
      </c>
      <c r="C68">
        <v>863</v>
      </c>
      <c r="D68">
        <v>869</v>
      </c>
      <c r="E68">
        <v>836</v>
      </c>
      <c r="F68">
        <v>870</v>
      </c>
      <c r="G68">
        <v>663</v>
      </c>
    </row>
    <row r="69" spans="1:8" x14ac:dyDescent="0.2">
      <c r="A69" t="s">
        <v>29</v>
      </c>
      <c r="B69">
        <v>845</v>
      </c>
      <c r="C69">
        <v>854</v>
      </c>
      <c r="D69">
        <v>858</v>
      </c>
      <c r="E69">
        <v>836</v>
      </c>
      <c r="F69">
        <v>824</v>
      </c>
      <c r="G69">
        <v>679</v>
      </c>
    </row>
    <row r="70" spans="1:8" x14ac:dyDescent="0.2">
      <c r="A70" t="s">
        <v>30</v>
      </c>
      <c r="B70">
        <v>859</v>
      </c>
      <c r="C70">
        <v>852</v>
      </c>
      <c r="D70">
        <v>864</v>
      </c>
      <c r="E70">
        <v>840</v>
      </c>
      <c r="F70">
        <v>862</v>
      </c>
      <c r="G70">
        <v>619</v>
      </c>
    </row>
    <row r="71" spans="1:8" x14ac:dyDescent="0.2">
      <c r="A71" t="s">
        <v>31</v>
      </c>
      <c r="B71">
        <v>857</v>
      </c>
      <c r="C71">
        <v>862</v>
      </c>
      <c r="D71">
        <v>850</v>
      </c>
      <c r="E71">
        <v>850</v>
      </c>
      <c r="F71">
        <v>687</v>
      </c>
      <c r="G71">
        <v>794</v>
      </c>
    </row>
    <row r="72" spans="1:8" x14ac:dyDescent="0.2">
      <c r="A72" t="s">
        <v>32</v>
      </c>
      <c r="B72">
        <v>482</v>
      </c>
      <c r="C72">
        <v>817</v>
      </c>
      <c r="D72">
        <v>864</v>
      </c>
      <c r="E72">
        <v>866</v>
      </c>
      <c r="F72">
        <v>869</v>
      </c>
      <c r="G72">
        <v>827</v>
      </c>
      <c r="H72">
        <v>175</v>
      </c>
    </row>
    <row r="73" spans="1:8" x14ac:dyDescent="0.2">
      <c r="A73" t="s">
        <v>29</v>
      </c>
      <c r="B73">
        <v>857</v>
      </c>
      <c r="C73">
        <v>864</v>
      </c>
      <c r="D73">
        <v>870</v>
      </c>
      <c r="E73">
        <v>830</v>
      </c>
      <c r="F73">
        <v>848</v>
      </c>
      <c r="G73">
        <v>627</v>
      </c>
    </row>
    <row r="74" spans="1:8" x14ac:dyDescent="0.2">
      <c r="A74" t="s">
        <v>30</v>
      </c>
      <c r="B74">
        <v>867</v>
      </c>
      <c r="C74">
        <v>869</v>
      </c>
      <c r="D74">
        <v>855</v>
      </c>
      <c r="E74">
        <v>848</v>
      </c>
      <c r="F74">
        <v>858</v>
      </c>
      <c r="G74">
        <v>603</v>
      </c>
    </row>
    <row r="75" spans="1:8" x14ac:dyDescent="0.2">
      <c r="A75" t="s">
        <v>31</v>
      </c>
      <c r="B75">
        <v>865</v>
      </c>
      <c r="C75">
        <v>860</v>
      </c>
      <c r="D75">
        <v>856</v>
      </c>
      <c r="E75">
        <v>822</v>
      </c>
      <c r="F75">
        <v>743</v>
      </c>
      <c r="G75">
        <v>750</v>
      </c>
    </row>
    <row r="76" spans="1:8" x14ac:dyDescent="0.2">
      <c r="A76" t="s">
        <v>32</v>
      </c>
      <c r="B76">
        <v>869</v>
      </c>
      <c r="C76">
        <v>862</v>
      </c>
      <c r="D76">
        <v>868</v>
      </c>
      <c r="E76">
        <v>848</v>
      </c>
      <c r="F76">
        <v>536</v>
      </c>
      <c r="G76">
        <v>829</v>
      </c>
      <c r="H76">
        <v>88</v>
      </c>
    </row>
    <row r="77" spans="1:8" x14ac:dyDescent="0.2">
      <c r="A77" t="s">
        <v>29</v>
      </c>
      <c r="B77">
        <v>845</v>
      </c>
      <c r="C77">
        <v>858</v>
      </c>
      <c r="D77">
        <v>870</v>
      </c>
      <c r="E77">
        <v>834</v>
      </c>
      <c r="F77">
        <v>852</v>
      </c>
      <c r="G77">
        <v>641</v>
      </c>
    </row>
    <row r="78" spans="1:8" x14ac:dyDescent="0.2">
      <c r="A78" t="s">
        <v>30</v>
      </c>
      <c r="B78">
        <v>859</v>
      </c>
      <c r="C78">
        <v>852</v>
      </c>
      <c r="D78">
        <v>856</v>
      </c>
      <c r="E78">
        <v>846</v>
      </c>
      <c r="F78">
        <v>832</v>
      </c>
      <c r="G78">
        <v>655</v>
      </c>
    </row>
    <row r="79" spans="1:8" x14ac:dyDescent="0.2">
      <c r="A79" t="s">
        <v>31</v>
      </c>
      <c r="B79">
        <v>870</v>
      </c>
      <c r="C79">
        <v>865</v>
      </c>
      <c r="D79">
        <v>862</v>
      </c>
      <c r="E79">
        <v>850</v>
      </c>
      <c r="F79">
        <v>870</v>
      </c>
      <c r="G79">
        <v>579</v>
      </c>
    </row>
    <row r="80" spans="1:8" x14ac:dyDescent="0.2">
      <c r="A80" t="s">
        <v>32</v>
      </c>
      <c r="B80">
        <v>867</v>
      </c>
      <c r="C80">
        <v>869</v>
      </c>
      <c r="D80">
        <v>869</v>
      </c>
      <c r="E80">
        <v>846</v>
      </c>
      <c r="F80">
        <v>870</v>
      </c>
      <c r="G80">
        <v>575</v>
      </c>
    </row>
    <row r="81" spans="1:8" x14ac:dyDescent="0.2">
      <c r="A81" t="s">
        <v>29</v>
      </c>
      <c r="B81">
        <v>870</v>
      </c>
      <c r="C81">
        <v>857</v>
      </c>
      <c r="D81">
        <v>854</v>
      </c>
      <c r="E81">
        <v>840</v>
      </c>
      <c r="F81">
        <v>870</v>
      </c>
      <c r="G81">
        <v>609</v>
      </c>
    </row>
    <row r="82" spans="1:8" x14ac:dyDescent="0.2">
      <c r="A82" t="s">
        <v>30</v>
      </c>
      <c r="B82">
        <v>863</v>
      </c>
      <c r="C82">
        <v>866</v>
      </c>
      <c r="D82">
        <v>850</v>
      </c>
      <c r="E82">
        <v>848</v>
      </c>
      <c r="F82">
        <v>866</v>
      </c>
      <c r="G82">
        <v>603</v>
      </c>
    </row>
    <row r="83" spans="1:8" x14ac:dyDescent="0.2">
      <c r="A83" t="s">
        <v>31</v>
      </c>
      <c r="B83">
        <v>771</v>
      </c>
      <c r="C83">
        <v>829</v>
      </c>
      <c r="D83">
        <v>869</v>
      </c>
      <c r="E83">
        <v>840</v>
      </c>
      <c r="F83">
        <v>862</v>
      </c>
      <c r="G83">
        <v>725</v>
      </c>
    </row>
    <row r="84" spans="1:8" x14ac:dyDescent="0.2">
      <c r="A84" t="s">
        <v>32</v>
      </c>
      <c r="B84">
        <v>859</v>
      </c>
      <c r="C84">
        <v>856</v>
      </c>
      <c r="D84">
        <v>868</v>
      </c>
      <c r="E84">
        <v>840</v>
      </c>
      <c r="F84">
        <v>866</v>
      </c>
      <c r="G84">
        <v>611</v>
      </c>
    </row>
    <row r="85" spans="1:8" x14ac:dyDescent="0.2">
      <c r="A85" t="s">
        <v>29</v>
      </c>
      <c r="B85">
        <v>837</v>
      </c>
      <c r="C85">
        <v>869</v>
      </c>
      <c r="D85">
        <v>870</v>
      </c>
      <c r="E85">
        <v>843</v>
      </c>
      <c r="F85">
        <v>868</v>
      </c>
      <c r="G85">
        <v>613</v>
      </c>
    </row>
    <row r="86" spans="1:8" x14ac:dyDescent="0.2">
      <c r="A86" t="s">
        <v>30</v>
      </c>
      <c r="B86">
        <v>867</v>
      </c>
      <c r="C86">
        <v>869</v>
      </c>
      <c r="D86">
        <v>870</v>
      </c>
      <c r="E86">
        <v>829</v>
      </c>
      <c r="F86">
        <v>870</v>
      </c>
      <c r="G86">
        <v>595</v>
      </c>
    </row>
    <row r="87" spans="1:8" x14ac:dyDescent="0.2">
      <c r="A87" t="s">
        <v>31</v>
      </c>
      <c r="B87">
        <v>853</v>
      </c>
      <c r="C87">
        <v>860</v>
      </c>
      <c r="D87">
        <v>858</v>
      </c>
      <c r="E87">
        <v>748</v>
      </c>
      <c r="F87">
        <v>747</v>
      </c>
      <c r="G87">
        <v>829</v>
      </c>
      <c r="H87">
        <v>1</v>
      </c>
    </row>
    <row r="88" spans="1:8" x14ac:dyDescent="0.2">
      <c r="A88" t="s">
        <v>32</v>
      </c>
      <c r="B88">
        <v>827</v>
      </c>
      <c r="C88">
        <v>830</v>
      </c>
      <c r="D88">
        <v>850</v>
      </c>
      <c r="E88">
        <v>840</v>
      </c>
      <c r="F88">
        <v>866</v>
      </c>
      <c r="G88">
        <v>683</v>
      </c>
    </row>
    <row r="89" spans="1:8" x14ac:dyDescent="0.2">
      <c r="A89" t="s">
        <v>29</v>
      </c>
      <c r="B89">
        <v>855</v>
      </c>
      <c r="C89">
        <v>856</v>
      </c>
      <c r="D89">
        <v>866</v>
      </c>
      <c r="E89">
        <v>850</v>
      </c>
      <c r="F89">
        <v>842</v>
      </c>
      <c r="G89">
        <v>631</v>
      </c>
    </row>
    <row r="90" spans="1:8" x14ac:dyDescent="0.2">
      <c r="A90" t="s">
        <v>30</v>
      </c>
      <c r="B90">
        <v>870</v>
      </c>
      <c r="C90">
        <v>862</v>
      </c>
      <c r="D90">
        <v>851</v>
      </c>
      <c r="E90">
        <v>836</v>
      </c>
      <c r="F90">
        <v>860</v>
      </c>
      <c r="G90">
        <v>617</v>
      </c>
    </row>
    <row r="91" spans="1:8" x14ac:dyDescent="0.2">
      <c r="A91" t="s">
        <v>31</v>
      </c>
      <c r="B91">
        <v>855</v>
      </c>
      <c r="C91">
        <v>854</v>
      </c>
      <c r="D91">
        <v>842</v>
      </c>
      <c r="E91">
        <v>828</v>
      </c>
      <c r="F91">
        <v>725</v>
      </c>
      <c r="G91">
        <v>796</v>
      </c>
    </row>
    <row r="92" spans="1:8" x14ac:dyDescent="0.2">
      <c r="A92" t="s">
        <v>32</v>
      </c>
      <c r="B92">
        <v>870</v>
      </c>
      <c r="C92">
        <v>867</v>
      </c>
      <c r="D92">
        <v>860</v>
      </c>
      <c r="E92">
        <v>848</v>
      </c>
      <c r="F92">
        <v>868</v>
      </c>
      <c r="G92">
        <v>583</v>
      </c>
    </row>
    <row r="93" spans="1:8" x14ac:dyDescent="0.2">
      <c r="A93" t="s">
        <v>29</v>
      </c>
      <c r="B93">
        <v>849</v>
      </c>
      <c r="C93">
        <v>866</v>
      </c>
      <c r="D93">
        <v>870</v>
      </c>
      <c r="E93">
        <v>850</v>
      </c>
      <c r="F93">
        <v>850</v>
      </c>
      <c r="G93">
        <v>611</v>
      </c>
    </row>
    <row r="94" spans="1:8" x14ac:dyDescent="0.2">
      <c r="A94" t="s">
        <v>30</v>
      </c>
      <c r="B94">
        <v>847</v>
      </c>
      <c r="C94">
        <v>858</v>
      </c>
      <c r="D94">
        <v>842</v>
      </c>
      <c r="E94">
        <v>850</v>
      </c>
      <c r="F94">
        <v>864</v>
      </c>
      <c r="G94">
        <v>635</v>
      </c>
    </row>
    <row r="95" spans="1:8" x14ac:dyDescent="0.2">
      <c r="A95" t="s">
        <v>31</v>
      </c>
      <c r="B95">
        <v>870</v>
      </c>
      <c r="C95">
        <v>859</v>
      </c>
      <c r="D95">
        <v>854</v>
      </c>
      <c r="E95">
        <v>850</v>
      </c>
      <c r="F95">
        <v>689</v>
      </c>
      <c r="G95">
        <v>778</v>
      </c>
    </row>
    <row r="96" spans="1:8" x14ac:dyDescent="0.2">
      <c r="A96" t="s">
        <v>32</v>
      </c>
      <c r="B96">
        <v>434</v>
      </c>
      <c r="C96">
        <v>817</v>
      </c>
      <c r="D96">
        <v>862</v>
      </c>
      <c r="E96">
        <v>838</v>
      </c>
      <c r="F96">
        <v>868</v>
      </c>
      <c r="G96">
        <v>776</v>
      </c>
      <c r="H96">
        <v>305</v>
      </c>
    </row>
    <row r="97" spans="1:8" x14ac:dyDescent="0.2">
      <c r="A97" t="s">
        <v>29</v>
      </c>
      <c r="B97">
        <v>870</v>
      </c>
      <c r="C97">
        <v>843</v>
      </c>
      <c r="D97">
        <v>858</v>
      </c>
      <c r="E97">
        <v>846</v>
      </c>
      <c r="F97">
        <v>870</v>
      </c>
      <c r="G97">
        <v>613</v>
      </c>
    </row>
    <row r="98" spans="1:8" x14ac:dyDescent="0.2">
      <c r="A98" t="s">
        <v>30</v>
      </c>
      <c r="B98">
        <v>849</v>
      </c>
      <c r="C98">
        <v>842</v>
      </c>
      <c r="D98">
        <v>826</v>
      </c>
      <c r="E98">
        <v>824</v>
      </c>
      <c r="F98">
        <v>858</v>
      </c>
      <c r="G98">
        <v>701</v>
      </c>
    </row>
    <row r="99" spans="1:8" x14ac:dyDescent="0.2">
      <c r="A99" t="s">
        <v>31</v>
      </c>
      <c r="B99">
        <v>757</v>
      </c>
      <c r="C99">
        <v>818</v>
      </c>
      <c r="D99">
        <v>860</v>
      </c>
      <c r="E99">
        <v>850</v>
      </c>
      <c r="F99">
        <v>820</v>
      </c>
      <c r="G99">
        <v>791</v>
      </c>
    </row>
    <row r="100" spans="1:8" x14ac:dyDescent="0.2">
      <c r="A100" t="s">
        <v>32</v>
      </c>
      <c r="B100">
        <v>857</v>
      </c>
      <c r="C100">
        <v>864</v>
      </c>
      <c r="D100">
        <v>854</v>
      </c>
      <c r="E100">
        <v>846</v>
      </c>
      <c r="F100">
        <v>848</v>
      </c>
      <c r="G100">
        <v>627</v>
      </c>
    </row>
    <row r="101" spans="1:8" x14ac:dyDescent="0.2">
      <c r="A101" t="s">
        <v>29</v>
      </c>
      <c r="B101">
        <v>837</v>
      </c>
      <c r="C101">
        <v>869</v>
      </c>
      <c r="D101">
        <v>869</v>
      </c>
      <c r="E101">
        <v>848</v>
      </c>
      <c r="F101">
        <v>868</v>
      </c>
      <c r="G101">
        <v>609</v>
      </c>
    </row>
    <row r="102" spans="1:8" x14ac:dyDescent="0.2">
      <c r="A102" t="s">
        <v>30</v>
      </c>
      <c r="B102">
        <v>864</v>
      </c>
      <c r="C102">
        <v>869</v>
      </c>
      <c r="D102">
        <v>858</v>
      </c>
      <c r="E102">
        <v>848</v>
      </c>
      <c r="F102">
        <v>868</v>
      </c>
      <c r="G102">
        <v>589</v>
      </c>
    </row>
    <row r="103" spans="1:8" x14ac:dyDescent="0.2">
      <c r="A103" t="s">
        <v>31</v>
      </c>
      <c r="B103">
        <v>867</v>
      </c>
      <c r="C103">
        <v>862</v>
      </c>
      <c r="D103">
        <v>846</v>
      </c>
      <c r="E103">
        <v>700</v>
      </c>
      <c r="F103">
        <v>803</v>
      </c>
      <c r="G103">
        <v>822</v>
      </c>
    </row>
    <row r="104" spans="1:8" x14ac:dyDescent="0.2">
      <c r="A104" t="s">
        <v>32</v>
      </c>
      <c r="B104">
        <v>851</v>
      </c>
      <c r="C104">
        <v>830</v>
      </c>
      <c r="D104">
        <v>860</v>
      </c>
      <c r="E104">
        <v>850</v>
      </c>
      <c r="F104">
        <v>856</v>
      </c>
      <c r="G104">
        <v>649</v>
      </c>
    </row>
    <row r="105" spans="1:8" x14ac:dyDescent="0.2">
      <c r="A105" t="s">
        <v>29</v>
      </c>
      <c r="B105">
        <v>870</v>
      </c>
      <c r="C105">
        <v>867</v>
      </c>
      <c r="D105">
        <v>864</v>
      </c>
      <c r="E105">
        <v>850</v>
      </c>
      <c r="F105">
        <v>858</v>
      </c>
      <c r="G105">
        <v>587</v>
      </c>
    </row>
    <row r="106" spans="1:8" x14ac:dyDescent="0.2">
      <c r="A106" t="s">
        <v>30</v>
      </c>
      <c r="B106">
        <v>863</v>
      </c>
      <c r="C106">
        <v>869</v>
      </c>
      <c r="D106">
        <v>843</v>
      </c>
      <c r="E106">
        <v>842</v>
      </c>
      <c r="F106">
        <v>870</v>
      </c>
      <c r="G106">
        <v>613</v>
      </c>
    </row>
    <row r="107" spans="1:8" x14ac:dyDescent="0.2">
      <c r="A107" t="s">
        <v>31</v>
      </c>
      <c r="B107">
        <v>870</v>
      </c>
      <c r="C107">
        <v>845</v>
      </c>
      <c r="D107">
        <v>860</v>
      </c>
      <c r="E107">
        <v>838</v>
      </c>
      <c r="F107">
        <v>766</v>
      </c>
      <c r="G107">
        <v>717</v>
      </c>
    </row>
    <row r="108" spans="1:8" x14ac:dyDescent="0.2">
      <c r="A108" t="s">
        <v>32</v>
      </c>
      <c r="B108">
        <v>863</v>
      </c>
      <c r="C108">
        <v>862</v>
      </c>
      <c r="D108">
        <v>862</v>
      </c>
      <c r="E108">
        <v>844</v>
      </c>
      <c r="F108">
        <v>870</v>
      </c>
      <c r="G108">
        <v>599</v>
      </c>
    </row>
    <row r="109" spans="1:8" x14ac:dyDescent="0.2">
      <c r="A109" t="s">
        <v>29</v>
      </c>
      <c r="B109">
        <v>870</v>
      </c>
      <c r="C109">
        <v>847</v>
      </c>
      <c r="D109">
        <v>858</v>
      </c>
      <c r="E109">
        <v>842</v>
      </c>
      <c r="F109">
        <v>870</v>
      </c>
      <c r="G109">
        <v>609</v>
      </c>
    </row>
    <row r="110" spans="1:8" x14ac:dyDescent="0.2">
      <c r="A110" t="s">
        <v>30</v>
      </c>
      <c r="B110">
        <v>870</v>
      </c>
      <c r="C110">
        <v>855</v>
      </c>
      <c r="D110">
        <v>868</v>
      </c>
      <c r="E110">
        <v>846</v>
      </c>
      <c r="F110">
        <v>868</v>
      </c>
      <c r="G110">
        <v>589</v>
      </c>
    </row>
    <row r="111" spans="1:8" x14ac:dyDescent="0.2">
      <c r="A111" t="s">
        <v>31</v>
      </c>
      <c r="B111">
        <v>867</v>
      </c>
      <c r="C111">
        <v>862</v>
      </c>
      <c r="D111">
        <v>868</v>
      </c>
      <c r="E111">
        <v>844</v>
      </c>
      <c r="F111">
        <v>833</v>
      </c>
      <c r="G111">
        <v>626</v>
      </c>
    </row>
    <row r="112" spans="1:8" x14ac:dyDescent="0.2">
      <c r="A112" t="s">
        <v>32</v>
      </c>
      <c r="B112">
        <v>418</v>
      </c>
      <c r="C112">
        <v>825</v>
      </c>
      <c r="D112">
        <v>866</v>
      </c>
      <c r="E112">
        <v>856</v>
      </c>
      <c r="F112">
        <v>869</v>
      </c>
      <c r="G112">
        <v>793</v>
      </c>
      <c r="H112">
        <v>273</v>
      </c>
    </row>
    <row r="113" spans="1:8" x14ac:dyDescent="0.2">
      <c r="A113" t="s">
        <v>29</v>
      </c>
      <c r="B113">
        <v>857</v>
      </c>
      <c r="C113">
        <v>868</v>
      </c>
      <c r="D113">
        <v>868</v>
      </c>
      <c r="E113">
        <v>848</v>
      </c>
      <c r="F113">
        <v>870</v>
      </c>
      <c r="G113">
        <v>585</v>
      </c>
    </row>
    <row r="114" spans="1:8" x14ac:dyDescent="0.2">
      <c r="A114" t="s">
        <v>30</v>
      </c>
      <c r="B114">
        <v>870</v>
      </c>
      <c r="C114">
        <v>846</v>
      </c>
      <c r="D114">
        <v>837</v>
      </c>
      <c r="E114">
        <v>846</v>
      </c>
      <c r="F114">
        <v>868</v>
      </c>
      <c r="G114">
        <v>633</v>
      </c>
    </row>
    <row r="115" spans="1:8" x14ac:dyDescent="0.2">
      <c r="A115" t="s">
        <v>31</v>
      </c>
      <c r="B115">
        <v>865</v>
      </c>
      <c r="C115">
        <v>850</v>
      </c>
      <c r="D115">
        <v>864</v>
      </c>
      <c r="E115">
        <v>850</v>
      </c>
      <c r="F115">
        <v>725</v>
      </c>
      <c r="G115">
        <v>746</v>
      </c>
    </row>
    <row r="116" spans="1:8" x14ac:dyDescent="0.2">
      <c r="A116" t="s">
        <v>32</v>
      </c>
      <c r="B116">
        <v>857</v>
      </c>
      <c r="C116">
        <v>864</v>
      </c>
      <c r="D116">
        <v>832</v>
      </c>
      <c r="E116">
        <v>850</v>
      </c>
      <c r="F116">
        <v>862</v>
      </c>
      <c r="G116">
        <v>631</v>
      </c>
    </row>
    <row r="117" spans="1:8" x14ac:dyDescent="0.2">
      <c r="A117" t="s">
        <v>29</v>
      </c>
      <c r="B117">
        <v>870</v>
      </c>
      <c r="C117">
        <v>847</v>
      </c>
      <c r="D117">
        <v>858</v>
      </c>
      <c r="E117">
        <v>830</v>
      </c>
      <c r="F117">
        <v>850</v>
      </c>
      <c r="G117">
        <v>645</v>
      </c>
    </row>
    <row r="118" spans="1:8" x14ac:dyDescent="0.2">
      <c r="A118" t="s">
        <v>30</v>
      </c>
      <c r="B118">
        <v>821</v>
      </c>
      <c r="C118">
        <v>869</v>
      </c>
      <c r="D118">
        <v>867</v>
      </c>
      <c r="E118">
        <v>850</v>
      </c>
      <c r="F118">
        <v>870</v>
      </c>
      <c r="G118">
        <v>623</v>
      </c>
    </row>
    <row r="119" spans="1:8" x14ac:dyDescent="0.2">
      <c r="A119" t="s">
        <v>31</v>
      </c>
      <c r="B119">
        <v>859</v>
      </c>
      <c r="C119">
        <v>858</v>
      </c>
      <c r="D119">
        <v>858</v>
      </c>
      <c r="E119">
        <v>836</v>
      </c>
      <c r="F119">
        <v>808</v>
      </c>
      <c r="G119">
        <v>677</v>
      </c>
    </row>
    <row r="120" spans="1:8" x14ac:dyDescent="0.2">
      <c r="A120" t="s">
        <v>32</v>
      </c>
      <c r="B120">
        <v>855</v>
      </c>
      <c r="C120">
        <v>866</v>
      </c>
      <c r="D120">
        <v>862</v>
      </c>
      <c r="E120">
        <v>848</v>
      </c>
      <c r="F120">
        <v>611</v>
      </c>
      <c r="G120">
        <v>829</v>
      </c>
      <c r="H120">
        <v>25</v>
      </c>
    </row>
    <row r="121" spans="1:8" x14ac:dyDescent="0.2">
      <c r="A121" t="s">
        <v>29</v>
      </c>
      <c r="B121">
        <v>865</v>
      </c>
      <c r="C121">
        <v>864</v>
      </c>
      <c r="D121">
        <v>870</v>
      </c>
      <c r="E121">
        <v>834</v>
      </c>
      <c r="F121">
        <v>870</v>
      </c>
      <c r="G121">
        <v>597</v>
      </c>
    </row>
    <row r="122" spans="1:8" x14ac:dyDescent="0.2">
      <c r="A122" t="s">
        <v>30</v>
      </c>
      <c r="B122">
        <v>861</v>
      </c>
      <c r="C122">
        <v>868</v>
      </c>
      <c r="D122">
        <v>868</v>
      </c>
      <c r="E122">
        <v>850</v>
      </c>
      <c r="F122">
        <v>852</v>
      </c>
      <c r="G122">
        <v>601</v>
      </c>
    </row>
    <row r="123" spans="1:8" x14ac:dyDescent="0.2">
      <c r="A123" t="s">
        <v>31</v>
      </c>
      <c r="B123">
        <v>867</v>
      </c>
      <c r="C123">
        <v>860</v>
      </c>
      <c r="D123">
        <v>862</v>
      </c>
      <c r="E123">
        <v>820</v>
      </c>
      <c r="F123">
        <v>774</v>
      </c>
      <c r="G123">
        <v>713</v>
      </c>
    </row>
    <row r="124" spans="1:8" x14ac:dyDescent="0.2">
      <c r="A124" t="s">
        <v>32</v>
      </c>
      <c r="B124">
        <v>831</v>
      </c>
      <c r="C124">
        <v>866</v>
      </c>
      <c r="D124">
        <v>846</v>
      </c>
      <c r="E124">
        <v>840</v>
      </c>
      <c r="F124">
        <v>870</v>
      </c>
      <c r="G124">
        <v>643</v>
      </c>
    </row>
    <row r="125" spans="1:8" x14ac:dyDescent="0.2">
      <c r="A125" t="s">
        <v>29</v>
      </c>
      <c r="B125">
        <v>853</v>
      </c>
      <c r="C125">
        <v>852</v>
      </c>
      <c r="D125">
        <v>848</v>
      </c>
      <c r="E125">
        <v>848</v>
      </c>
      <c r="F125">
        <v>856</v>
      </c>
      <c r="G125">
        <v>639</v>
      </c>
    </row>
    <row r="126" spans="1:8" x14ac:dyDescent="0.2">
      <c r="A126" t="s">
        <v>30</v>
      </c>
      <c r="B126">
        <v>870</v>
      </c>
      <c r="C126">
        <v>867</v>
      </c>
      <c r="D126">
        <v>862</v>
      </c>
      <c r="E126">
        <v>846</v>
      </c>
      <c r="F126">
        <v>866</v>
      </c>
      <c r="G126">
        <v>589</v>
      </c>
    </row>
    <row r="127" spans="1:8" x14ac:dyDescent="0.2">
      <c r="A127" t="s">
        <v>31</v>
      </c>
      <c r="B127">
        <v>863</v>
      </c>
      <c r="C127">
        <v>869</v>
      </c>
      <c r="D127">
        <v>865</v>
      </c>
      <c r="E127">
        <v>730</v>
      </c>
      <c r="F127">
        <v>805</v>
      </c>
      <c r="G127">
        <v>764</v>
      </c>
    </row>
    <row r="128" spans="1:8" x14ac:dyDescent="0.2">
      <c r="A128" t="s">
        <v>32</v>
      </c>
      <c r="B128">
        <v>867</v>
      </c>
      <c r="C128">
        <v>862</v>
      </c>
      <c r="D128">
        <v>870</v>
      </c>
      <c r="E128">
        <v>848</v>
      </c>
      <c r="F128">
        <v>870</v>
      </c>
      <c r="G128">
        <v>583</v>
      </c>
    </row>
    <row r="129" spans="1:8" x14ac:dyDescent="0.2">
      <c r="A129" t="s">
        <v>29</v>
      </c>
      <c r="B129">
        <v>849</v>
      </c>
      <c r="C129">
        <v>866</v>
      </c>
      <c r="D129">
        <v>866</v>
      </c>
      <c r="E129">
        <v>838</v>
      </c>
      <c r="F129">
        <v>868</v>
      </c>
      <c r="G129">
        <v>609</v>
      </c>
    </row>
    <row r="130" spans="1:8" x14ac:dyDescent="0.2">
      <c r="A130" t="s">
        <v>30</v>
      </c>
      <c r="B130">
        <v>847</v>
      </c>
      <c r="C130">
        <v>854</v>
      </c>
      <c r="D130">
        <v>848</v>
      </c>
      <c r="E130">
        <v>846</v>
      </c>
      <c r="F130">
        <v>858</v>
      </c>
      <c r="G130">
        <v>643</v>
      </c>
    </row>
    <row r="131" spans="1:8" x14ac:dyDescent="0.2">
      <c r="A131" t="s">
        <v>31</v>
      </c>
      <c r="B131">
        <v>839</v>
      </c>
      <c r="C131">
        <v>858</v>
      </c>
      <c r="D131">
        <v>868</v>
      </c>
      <c r="E131">
        <v>554</v>
      </c>
      <c r="F131">
        <v>870</v>
      </c>
      <c r="G131">
        <v>829</v>
      </c>
      <c r="H131">
        <v>82</v>
      </c>
    </row>
    <row r="132" spans="1:8" x14ac:dyDescent="0.2">
      <c r="A132" t="s">
        <v>32</v>
      </c>
      <c r="B132">
        <v>863</v>
      </c>
      <c r="C132">
        <v>860</v>
      </c>
      <c r="D132">
        <v>846</v>
      </c>
      <c r="E132">
        <v>850</v>
      </c>
      <c r="F132">
        <v>870</v>
      </c>
      <c r="G132">
        <v>611</v>
      </c>
    </row>
    <row r="133" spans="1:8" x14ac:dyDescent="0.2">
      <c r="A133" t="s">
        <v>29</v>
      </c>
      <c r="B133">
        <v>870</v>
      </c>
      <c r="C133">
        <v>859</v>
      </c>
      <c r="D133">
        <v>852</v>
      </c>
      <c r="E133">
        <v>768</v>
      </c>
      <c r="F133">
        <v>846</v>
      </c>
      <c r="G133">
        <v>705</v>
      </c>
    </row>
    <row r="134" spans="1:8" x14ac:dyDescent="0.2">
      <c r="A134" t="s">
        <v>30</v>
      </c>
      <c r="B134">
        <v>870</v>
      </c>
      <c r="C134">
        <v>857</v>
      </c>
      <c r="D134">
        <v>852</v>
      </c>
      <c r="E134">
        <v>850</v>
      </c>
      <c r="F134">
        <v>870</v>
      </c>
      <c r="G134">
        <v>597</v>
      </c>
    </row>
    <row r="135" spans="1:8" x14ac:dyDescent="0.2">
      <c r="A135" t="s">
        <v>31</v>
      </c>
      <c r="B135">
        <v>870</v>
      </c>
      <c r="C135">
        <v>862</v>
      </c>
      <c r="D135">
        <v>851</v>
      </c>
      <c r="E135">
        <v>836</v>
      </c>
      <c r="F135">
        <v>784</v>
      </c>
      <c r="G135">
        <v>693</v>
      </c>
    </row>
    <row r="136" spans="1:8" x14ac:dyDescent="0.2">
      <c r="A136" t="s">
        <v>32</v>
      </c>
      <c r="B136">
        <v>825</v>
      </c>
      <c r="C136">
        <v>869</v>
      </c>
      <c r="D136">
        <v>865</v>
      </c>
      <c r="E136">
        <v>850</v>
      </c>
      <c r="F136">
        <v>870</v>
      </c>
      <c r="G136">
        <v>621</v>
      </c>
    </row>
    <row r="137" spans="1:8" x14ac:dyDescent="0.2">
      <c r="A137" t="s">
        <v>29</v>
      </c>
      <c r="B137">
        <v>853</v>
      </c>
      <c r="C137">
        <v>852</v>
      </c>
      <c r="D137">
        <v>858</v>
      </c>
      <c r="E137">
        <v>846</v>
      </c>
      <c r="F137">
        <v>866</v>
      </c>
      <c r="G137">
        <v>625</v>
      </c>
    </row>
    <row r="138" spans="1:8" x14ac:dyDescent="0.2">
      <c r="A138" t="s">
        <v>30</v>
      </c>
      <c r="B138">
        <v>867</v>
      </c>
      <c r="C138">
        <v>814</v>
      </c>
      <c r="D138">
        <v>848</v>
      </c>
      <c r="E138">
        <v>838</v>
      </c>
      <c r="F138">
        <v>844</v>
      </c>
      <c r="G138">
        <v>685</v>
      </c>
    </row>
    <row r="139" spans="1:8" x14ac:dyDescent="0.2">
      <c r="A139" t="s">
        <v>31</v>
      </c>
      <c r="B139">
        <v>855</v>
      </c>
      <c r="C139">
        <v>868</v>
      </c>
      <c r="D139">
        <v>852</v>
      </c>
      <c r="E139">
        <v>848</v>
      </c>
      <c r="F139">
        <v>709</v>
      </c>
      <c r="G139">
        <v>764</v>
      </c>
    </row>
    <row r="140" spans="1:8" x14ac:dyDescent="0.2">
      <c r="A140" t="s">
        <v>32</v>
      </c>
      <c r="B140">
        <v>845</v>
      </c>
      <c r="C140">
        <v>864</v>
      </c>
      <c r="D140">
        <v>862</v>
      </c>
      <c r="E140">
        <v>850</v>
      </c>
      <c r="F140">
        <v>269</v>
      </c>
      <c r="G140">
        <v>828</v>
      </c>
      <c r="H140">
        <v>382</v>
      </c>
    </row>
    <row r="141" spans="1:8" x14ac:dyDescent="0.2">
      <c r="A141" t="s">
        <v>29</v>
      </c>
      <c r="B141">
        <v>825</v>
      </c>
      <c r="C141">
        <v>780</v>
      </c>
      <c r="D141">
        <v>864</v>
      </c>
      <c r="E141">
        <v>836</v>
      </c>
      <c r="F141">
        <v>852</v>
      </c>
      <c r="G141">
        <v>739</v>
      </c>
    </row>
    <row r="142" spans="1:8" x14ac:dyDescent="0.2">
      <c r="A142" t="s">
        <v>30</v>
      </c>
      <c r="B142">
        <v>857</v>
      </c>
      <c r="C142">
        <v>826</v>
      </c>
      <c r="D142">
        <v>844</v>
      </c>
      <c r="E142">
        <v>830</v>
      </c>
      <c r="F142">
        <v>862</v>
      </c>
      <c r="G142">
        <v>677</v>
      </c>
    </row>
    <row r="143" spans="1:8" x14ac:dyDescent="0.2">
      <c r="A143" t="s">
        <v>31</v>
      </c>
      <c r="B143">
        <v>855</v>
      </c>
      <c r="C143">
        <v>852</v>
      </c>
      <c r="D143">
        <v>860</v>
      </c>
      <c r="E143">
        <v>532</v>
      </c>
      <c r="F143">
        <v>847</v>
      </c>
      <c r="G143">
        <v>807</v>
      </c>
      <c r="H143">
        <v>147</v>
      </c>
    </row>
    <row r="144" spans="1:8" x14ac:dyDescent="0.2">
      <c r="A144" t="s">
        <v>32</v>
      </c>
      <c r="B144">
        <v>867</v>
      </c>
      <c r="C144">
        <v>862</v>
      </c>
      <c r="D144">
        <v>856</v>
      </c>
      <c r="E144">
        <v>800</v>
      </c>
      <c r="F144">
        <v>232</v>
      </c>
      <c r="G144">
        <v>870</v>
      </c>
      <c r="H144">
        <v>413</v>
      </c>
    </row>
    <row r="145" spans="1:8" x14ac:dyDescent="0.2">
      <c r="A145" t="s">
        <v>29</v>
      </c>
      <c r="B145">
        <v>837</v>
      </c>
      <c r="C145">
        <v>869</v>
      </c>
      <c r="D145">
        <v>870</v>
      </c>
      <c r="E145">
        <v>849</v>
      </c>
      <c r="F145">
        <v>862</v>
      </c>
      <c r="G145">
        <v>609</v>
      </c>
    </row>
    <row r="146" spans="1:8" x14ac:dyDescent="0.2">
      <c r="A146" t="s">
        <v>30</v>
      </c>
      <c r="B146">
        <v>870</v>
      </c>
      <c r="C146">
        <v>802</v>
      </c>
      <c r="D146">
        <v>849</v>
      </c>
      <c r="E146">
        <v>844</v>
      </c>
      <c r="F146">
        <v>850</v>
      </c>
      <c r="G146">
        <v>681</v>
      </c>
    </row>
    <row r="147" spans="1:8" x14ac:dyDescent="0.2">
      <c r="A147" t="s">
        <v>31</v>
      </c>
      <c r="B147">
        <v>859</v>
      </c>
      <c r="C147">
        <v>854</v>
      </c>
      <c r="D147">
        <v>854</v>
      </c>
      <c r="E147">
        <v>808</v>
      </c>
      <c r="F147">
        <v>707</v>
      </c>
      <c r="G147">
        <v>818</v>
      </c>
    </row>
    <row r="148" spans="1:8" x14ac:dyDescent="0.2">
      <c r="A148" t="s">
        <v>32</v>
      </c>
      <c r="B148">
        <v>406</v>
      </c>
      <c r="C148">
        <v>827</v>
      </c>
      <c r="D148">
        <v>864</v>
      </c>
      <c r="E148">
        <v>842</v>
      </c>
      <c r="F148">
        <v>832</v>
      </c>
      <c r="G148">
        <v>820</v>
      </c>
      <c r="H148">
        <v>309</v>
      </c>
    </row>
    <row r="149" spans="1:8" x14ac:dyDescent="0.2">
      <c r="A149" t="s">
        <v>29</v>
      </c>
      <c r="B149">
        <v>805</v>
      </c>
      <c r="C149">
        <v>860</v>
      </c>
      <c r="D149">
        <v>846</v>
      </c>
      <c r="E149">
        <v>836</v>
      </c>
      <c r="F149">
        <v>870</v>
      </c>
      <c r="G149">
        <v>679</v>
      </c>
    </row>
    <row r="150" spans="1:8" x14ac:dyDescent="0.2">
      <c r="A150" t="s">
        <v>30</v>
      </c>
      <c r="B150">
        <v>841</v>
      </c>
      <c r="C150">
        <v>858</v>
      </c>
      <c r="D150">
        <v>846</v>
      </c>
      <c r="E150">
        <v>850</v>
      </c>
      <c r="F150">
        <v>864</v>
      </c>
      <c r="G150">
        <v>637</v>
      </c>
    </row>
    <row r="151" spans="1:8" x14ac:dyDescent="0.2">
      <c r="A151" t="s">
        <v>31</v>
      </c>
      <c r="B151">
        <v>870</v>
      </c>
      <c r="C151">
        <v>867</v>
      </c>
      <c r="D151">
        <v>870</v>
      </c>
      <c r="E151">
        <v>684</v>
      </c>
      <c r="F151">
        <v>705</v>
      </c>
      <c r="G151">
        <v>829</v>
      </c>
      <c r="H151">
        <v>75</v>
      </c>
    </row>
    <row r="152" spans="1:8" x14ac:dyDescent="0.2">
      <c r="A152" t="s">
        <v>32</v>
      </c>
      <c r="B152">
        <v>870</v>
      </c>
      <c r="C152">
        <v>869</v>
      </c>
      <c r="D152">
        <v>860</v>
      </c>
      <c r="E152">
        <v>844</v>
      </c>
      <c r="F152">
        <v>858</v>
      </c>
      <c r="G152">
        <v>599</v>
      </c>
    </row>
    <row r="153" spans="1:8" x14ac:dyDescent="0.2">
      <c r="A153" t="s">
        <v>29</v>
      </c>
      <c r="B153">
        <v>845</v>
      </c>
      <c r="C153">
        <v>846</v>
      </c>
      <c r="D153">
        <v>868</v>
      </c>
      <c r="E153">
        <v>838</v>
      </c>
      <c r="F153">
        <v>858</v>
      </c>
      <c r="G153">
        <v>641</v>
      </c>
    </row>
    <row r="154" spans="1:8" x14ac:dyDescent="0.2">
      <c r="A154" t="s">
        <v>30</v>
      </c>
      <c r="B154">
        <v>870</v>
      </c>
      <c r="C154">
        <v>815</v>
      </c>
      <c r="D154">
        <v>866</v>
      </c>
      <c r="E154">
        <v>850</v>
      </c>
      <c r="F154">
        <v>870</v>
      </c>
      <c r="G154">
        <v>625</v>
      </c>
    </row>
    <row r="155" spans="1:8" x14ac:dyDescent="0.2">
      <c r="A155" t="s">
        <v>31</v>
      </c>
      <c r="B155">
        <v>853</v>
      </c>
      <c r="C155">
        <v>868</v>
      </c>
      <c r="D155">
        <v>842</v>
      </c>
      <c r="E155">
        <v>652</v>
      </c>
      <c r="F155">
        <v>870</v>
      </c>
      <c r="G155">
        <v>815</v>
      </c>
    </row>
    <row r="156" spans="1:8" x14ac:dyDescent="0.2">
      <c r="A156" t="s">
        <v>32</v>
      </c>
      <c r="B156">
        <v>861</v>
      </c>
      <c r="C156">
        <v>866</v>
      </c>
      <c r="D156">
        <v>856</v>
      </c>
      <c r="E156">
        <v>810</v>
      </c>
      <c r="F156">
        <v>870</v>
      </c>
      <c r="G156">
        <v>637</v>
      </c>
    </row>
    <row r="157" spans="1:8" x14ac:dyDescent="0.2">
      <c r="A157" t="s">
        <v>29</v>
      </c>
      <c r="B157">
        <v>870</v>
      </c>
      <c r="C157">
        <v>867</v>
      </c>
      <c r="D157">
        <v>854</v>
      </c>
      <c r="E157">
        <v>816</v>
      </c>
      <c r="F157">
        <v>864</v>
      </c>
      <c r="G157">
        <v>629</v>
      </c>
    </row>
    <row r="158" spans="1:8" x14ac:dyDescent="0.2">
      <c r="A158" t="s">
        <v>30</v>
      </c>
      <c r="B158">
        <v>857</v>
      </c>
      <c r="C158">
        <v>868</v>
      </c>
      <c r="D158">
        <v>844</v>
      </c>
      <c r="E158">
        <v>840</v>
      </c>
      <c r="F158">
        <v>870</v>
      </c>
      <c r="G158">
        <v>621</v>
      </c>
    </row>
    <row r="159" spans="1:8" x14ac:dyDescent="0.2">
      <c r="A159" t="s">
        <v>31</v>
      </c>
      <c r="B159">
        <v>855</v>
      </c>
      <c r="C159">
        <v>856</v>
      </c>
      <c r="D159">
        <v>844</v>
      </c>
      <c r="E159">
        <v>846</v>
      </c>
      <c r="F159">
        <v>870</v>
      </c>
      <c r="G159">
        <v>625</v>
      </c>
    </row>
    <row r="160" spans="1:8" x14ac:dyDescent="0.2">
      <c r="A160" t="s">
        <v>32</v>
      </c>
      <c r="B160">
        <v>870</v>
      </c>
      <c r="C160">
        <v>869</v>
      </c>
      <c r="D160">
        <v>848</v>
      </c>
      <c r="E160">
        <v>838</v>
      </c>
      <c r="F160">
        <v>848</v>
      </c>
      <c r="G160">
        <v>623</v>
      </c>
    </row>
    <row r="161" spans="1:8" x14ac:dyDescent="0.2">
      <c r="A161" t="s">
        <v>29</v>
      </c>
      <c r="B161">
        <v>853</v>
      </c>
      <c r="C161">
        <v>852</v>
      </c>
      <c r="D161">
        <v>864</v>
      </c>
      <c r="E161">
        <v>826</v>
      </c>
      <c r="F161">
        <v>858</v>
      </c>
      <c r="G161">
        <v>643</v>
      </c>
    </row>
    <row r="162" spans="1:8" x14ac:dyDescent="0.2">
      <c r="A162" t="s">
        <v>30</v>
      </c>
      <c r="B162">
        <v>853</v>
      </c>
      <c r="C162">
        <v>866</v>
      </c>
      <c r="D162">
        <v>856</v>
      </c>
      <c r="E162">
        <v>808</v>
      </c>
      <c r="F162">
        <v>864</v>
      </c>
      <c r="G162">
        <v>653</v>
      </c>
    </row>
    <row r="163" spans="1:8" x14ac:dyDescent="0.2">
      <c r="A163" t="s">
        <v>31</v>
      </c>
      <c r="B163">
        <v>853</v>
      </c>
      <c r="C163">
        <v>866</v>
      </c>
      <c r="D163">
        <v>864</v>
      </c>
      <c r="E163">
        <v>764</v>
      </c>
      <c r="F163">
        <v>785</v>
      </c>
      <c r="G163">
        <v>764</v>
      </c>
    </row>
    <row r="164" spans="1:8" x14ac:dyDescent="0.2">
      <c r="A164" t="s">
        <v>32</v>
      </c>
      <c r="B164">
        <v>791</v>
      </c>
      <c r="C164">
        <v>829</v>
      </c>
      <c r="D164">
        <v>869</v>
      </c>
      <c r="E164">
        <v>822</v>
      </c>
      <c r="F164">
        <v>866</v>
      </c>
      <c r="G164">
        <v>723</v>
      </c>
    </row>
    <row r="165" spans="1:8" x14ac:dyDescent="0.2">
      <c r="A165" t="s">
        <v>29</v>
      </c>
      <c r="B165">
        <v>837</v>
      </c>
      <c r="C165">
        <v>869</v>
      </c>
      <c r="D165">
        <v>867</v>
      </c>
      <c r="E165">
        <v>846</v>
      </c>
      <c r="F165">
        <v>868</v>
      </c>
      <c r="G165">
        <v>609</v>
      </c>
    </row>
    <row r="166" spans="1:8" x14ac:dyDescent="0.2">
      <c r="A166" t="s">
        <v>30</v>
      </c>
      <c r="B166">
        <v>853</v>
      </c>
      <c r="C166">
        <v>864</v>
      </c>
      <c r="D166">
        <v>870</v>
      </c>
      <c r="E166">
        <v>826</v>
      </c>
      <c r="F166">
        <v>854</v>
      </c>
      <c r="G166">
        <v>629</v>
      </c>
    </row>
    <row r="167" spans="1:8" x14ac:dyDescent="0.2">
      <c r="A167" t="s">
        <v>31</v>
      </c>
      <c r="B167">
        <v>867</v>
      </c>
      <c r="C167">
        <v>856</v>
      </c>
      <c r="D167">
        <v>840</v>
      </c>
      <c r="E167">
        <v>740</v>
      </c>
      <c r="F167">
        <v>767</v>
      </c>
      <c r="G167">
        <v>829</v>
      </c>
      <c r="H167">
        <v>1</v>
      </c>
    </row>
    <row r="168" spans="1:8" x14ac:dyDescent="0.2">
      <c r="A168" t="s">
        <v>32</v>
      </c>
      <c r="B168">
        <v>866</v>
      </c>
      <c r="C168">
        <v>819</v>
      </c>
      <c r="D168">
        <v>846</v>
      </c>
      <c r="E168">
        <v>850</v>
      </c>
      <c r="F168">
        <v>866</v>
      </c>
      <c r="G168">
        <v>653</v>
      </c>
    </row>
    <row r="169" spans="1:8" x14ac:dyDescent="0.2">
      <c r="A169" t="s">
        <v>29</v>
      </c>
      <c r="B169">
        <v>861</v>
      </c>
      <c r="C169">
        <v>864</v>
      </c>
      <c r="D169">
        <v>860</v>
      </c>
      <c r="E169">
        <v>843</v>
      </c>
      <c r="F169">
        <v>867</v>
      </c>
      <c r="G169">
        <v>605</v>
      </c>
    </row>
    <row r="170" spans="1:8" x14ac:dyDescent="0.2">
      <c r="A170" t="s">
        <v>30</v>
      </c>
      <c r="B170">
        <v>859</v>
      </c>
      <c r="C170">
        <v>858</v>
      </c>
      <c r="D170">
        <v>866</v>
      </c>
      <c r="E170">
        <v>850</v>
      </c>
      <c r="F170">
        <v>777</v>
      </c>
      <c r="G170">
        <v>686</v>
      </c>
    </row>
    <row r="171" spans="1:8" x14ac:dyDescent="0.2">
      <c r="A171" t="s">
        <v>31</v>
      </c>
      <c r="B171">
        <v>807</v>
      </c>
      <c r="C171">
        <v>869</v>
      </c>
      <c r="D171">
        <v>865</v>
      </c>
      <c r="E171">
        <v>834</v>
      </c>
      <c r="F171">
        <v>870</v>
      </c>
      <c r="G171">
        <v>655</v>
      </c>
    </row>
    <row r="172" spans="1:8" x14ac:dyDescent="0.2">
      <c r="A172" t="s">
        <v>32</v>
      </c>
      <c r="B172">
        <v>558</v>
      </c>
      <c r="C172">
        <v>829</v>
      </c>
      <c r="D172">
        <v>858</v>
      </c>
      <c r="E172">
        <v>848</v>
      </c>
      <c r="F172">
        <v>870</v>
      </c>
      <c r="G172">
        <v>817</v>
      </c>
      <c r="H172">
        <v>116</v>
      </c>
    </row>
    <row r="173" spans="1:8" x14ac:dyDescent="0.2">
      <c r="A173" t="s">
        <v>29</v>
      </c>
      <c r="B173">
        <v>837</v>
      </c>
      <c r="C173">
        <v>869</v>
      </c>
      <c r="D173">
        <v>870</v>
      </c>
      <c r="E173">
        <v>843</v>
      </c>
      <c r="F173">
        <v>868</v>
      </c>
      <c r="G173">
        <v>609</v>
      </c>
    </row>
    <row r="174" spans="1:8" x14ac:dyDescent="0.2">
      <c r="A174" t="s">
        <v>30</v>
      </c>
      <c r="B174">
        <v>867</v>
      </c>
      <c r="C174">
        <v>866</v>
      </c>
      <c r="D174">
        <v>866</v>
      </c>
      <c r="E174">
        <v>850</v>
      </c>
      <c r="F174">
        <v>858</v>
      </c>
      <c r="G174">
        <v>589</v>
      </c>
    </row>
    <row r="175" spans="1:8" x14ac:dyDescent="0.2">
      <c r="A175" t="s">
        <v>31</v>
      </c>
      <c r="B175">
        <v>869</v>
      </c>
      <c r="C175">
        <v>860</v>
      </c>
      <c r="D175">
        <v>846</v>
      </c>
      <c r="E175">
        <v>748</v>
      </c>
      <c r="F175">
        <v>747</v>
      </c>
      <c r="G175">
        <v>829</v>
      </c>
      <c r="H175">
        <v>1</v>
      </c>
    </row>
    <row r="176" spans="1:8" x14ac:dyDescent="0.2">
      <c r="A176" t="s">
        <v>32</v>
      </c>
      <c r="B176">
        <v>870</v>
      </c>
      <c r="C176">
        <v>849</v>
      </c>
      <c r="D176">
        <v>860</v>
      </c>
      <c r="E176">
        <v>844</v>
      </c>
      <c r="F176">
        <v>866</v>
      </c>
      <c r="G176">
        <v>611</v>
      </c>
    </row>
    <row r="177" spans="1:7" x14ac:dyDescent="0.2">
      <c r="A177" t="s">
        <v>29</v>
      </c>
      <c r="B177">
        <v>867</v>
      </c>
      <c r="C177">
        <v>864</v>
      </c>
      <c r="D177">
        <v>856</v>
      </c>
      <c r="E177">
        <v>850</v>
      </c>
      <c r="F177">
        <v>862</v>
      </c>
      <c r="G177">
        <v>601</v>
      </c>
    </row>
    <row r="178" spans="1:7" x14ac:dyDescent="0.2">
      <c r="A178" t="s">
        <v>30</v>
      </c>
      <c r="B178">
        <v>869</v>
      </c>
      <c r="C178">
        <v>864</v>
      </c>
      <c r="D178">
        <v>870</v>
      </c>
      <c r="E178">
        <v>846</v>
      </c>
      <c r="F178">
        <v>870</v>
      </c>
      <c r="G178">
        <v>581</v>
      </c>
    </row>
    <row r="179" spans="1:7" x14ac:dyDescent="0.2">
      <c r="A179" t="s">
        <v>31</v>
      </c>
      <c r="B179">
        <v>837</v>
      </c>
      <c r="C179">
        <v>860</v>
      </c>
      <c r="D179">
        <v>866</v>
      </c>
      <c r="E179">
        <v>836</v>
      </c>
      <c r="F179">
        <v>768</v>
      </c>
      <c r="G179">
        <v>729</v>
      </c>
    </row>
    <row r="180" spans="1:7" x14ac:dyDescent="0.2">
      <c r="A180" t="s">
        <v>32</v>
      </c>
      <c r="B180">
        <v>831</v>
      </c>
      <c r="C180">
        <v>730</v>
      </c>
      <c r="D180">
        <v>860</v>
      </c>
      <c r="E180">
        <v>836</v>
      </c>
      <c r="F180">
        <v>870</v>
      </c>
      <c r="G180">
        <v>769</v>
      </c>
    </row>
    <row r="181" spans="1:7" x14ac:dyDescent="0.2">
      <c r="A181" t="s">
        <v>29</v>
      </c>
      <c r="B181">
        <v>861</v>
      </c>
      <c r="C181">
        <v>868</v>
      </c>
      <c r="D181">
        <v>858</v>
      </c>
      <c r="E181">
        <v>844</v>
      </c>
      <c r="F181">
        <v>864</v>
      </c>
      <c r="G181">
        <v>601</v>
      </c>
    </row>
    <row r="182" spans="1:7" x14ac:dyDescent="0.2">
      <c r="A182" t="s">
        <v>30</v>
      </c>
      <c r="B182">
        <v>833</v>
      </c>
      <c r="C182">
        <v>869</v>
      </c>
      <c r="D182">
        <v>855</v>
      </c>
      <c r="E182">
        <v>850</v>
      </c>
      <c r="F182">
        <v>858</v>
      </c>
      <c r="G182">
        <v>631</v>
      </c>
    </row>
    <row r="183" spans="1:7" x14ac:dyDescent="0.2">
      <c r="A183" t="s">
        <v>31</v>
      </c>
      <c r="B183">
        <v>853</v>
      </c>
      <c r="C183">
        <v>846</v>
      </c>
      <c r="D183">
        <v>860</v>
      </c>
      <c r="E183">
        <v>806</v>
      </c>
      <c r="F183">
        <v>807</v>
      </c>
      <c r="G183">
        <v>728</v>
      </c>
    </row>
    <row r="184" spans="1:7" x14ac:dyDescent="0.2">
      <c r="A184" t="s">
        <v>32</v>
      </c>
      <c r="B184">
        <v>869</v>
      </c>
      <c r="C184">
        <v>869</v>
      </c>
      <c r="D184">
        <v>845</v>
      </c>
      <c r="E184">
        <v>840</v>
      </c>
      <c r="F184">
        <v>870</v>
      </c>
      <c r="G184">
        <v>607</v>
      </c>
    </row>
    <row r="185" spans="1:7" x14ac:dyDescent="0.2">
      <c r="A185" t="s">
        <v>29</v>
      </c>
      <c r="B185">
        <v>863</v>
      </c>
      <c r="C185">
        <v>869</v>
      </c>
      <c r="D185">
        <v>863</v>
      </c>
      <c r="E185">
        <v>840</v>
      </c>
      <c r="F185">
        <v>860</v>
      </c>
      <c r="G185">
        <v>605</v>
      </c>
    </row>
    <row r="186" spans="1:7" x14ac:dyDescent="0.2">
      <c r="A186" t="s">
        <v>30</v>
      </c>
      <c r="B186">
        <v>857</v>
      </c>
      <c r="C186">
        <v>869</v>
      </c>
      <c r="D186">
        <v>855</v>
      </c>
      <c r="E186">
        <v>848</v>
      </c>
      <c r="F186">
        <v>870</v>
      </c>
      <c r="G186">
        <v>601</v>
      </c>
    </row>
    <row r="187" spans="1:7" x14ac:dyDescent="0.2">
      <c r="A187" t="s">
        <v>31</v>
      </c>
      <c r="B187">
        <v>869</v>
      </c>
      <c r="C187">
        <v>861</v>
      </c>
      <c r="D187">
        <v>865</v>
      </c>
      <c r="E187">
        <v>844</v>
      </c>
      <c r="F187">
        <v>870</v>
      </c>
      <c r="G187">
        <v>587</v>
      </c>
    </row>
    <row r="188" spans="1:7" x14ac:dyDescent="0.2">
      <c r="A188" t="s">
        <v>32</v>
      </c>
      <c r="B188">
        <v>859</v>
      </c>
      <c r="C188">
        <v>869</v>
      </c>
      <c r="D188">
        <v>869</v>
      </c>
      <c r="E188">
        <v>832</v>
      </c>
      <c r="F188">
        <v>849</v>
      </c>
      <c r="G188">
        <v>618</v>
      </c>
    </row>
    <row r="189" spans="1:7" x14ac:dyDescent="0.2">
      <c r="A189" t="s">
        <v>29</v>
      </c>
      <c r="B189">
        <v>865</v>
      </c>
      <c r="C189">
        <v>869</v>
      </c>
      <c r="D189">
        <v>870</v>
      </c>
      <c r="E189">
        <v>849</v>
      </c>
      <c r="F189">
        <v>858</v>
      </c>
      <c r="G189">
        <v>589</v>
      </c>
    </row>
    <row r="190" spans="1:7" x14ac:dyDescent="0.2">
      <c r="A190" t="s">
        <v>30</v>
      </c>
      <c r="B190">
        <v>845</v>
      </c>
      <c r="C190">
        <v>869</v>
      </c>
      <c r="D190">
        <v>870</v>
      </c>
      <c r="E190">
        <v>850</v>
      </c>
      <c r="F190">
        <v>870</v>
      </c>
      <c r="G190">
        <v>596</v>
      </c>
    </row>
    <row r="191" spans="1:7" x14ac:dyDescent="0.2">
      <c r="A191" t="s">
        <v>31</v>
      </c>
      <c r="B191">
        <v>863</v>
      </c>
      <c r="C191">
        <v>858</v>
      </c>
      <c r="D191">
        <v>868</v>
      </c>
      <c r="E191">
        <v>826</v>
      </c>
      <c r="F191">
        <v>740</v>
      </c>
      <c r="G191">
        <v>741</v>
      </c>
    </row>
    <row r="192" spans="1:7" x14ac:dyDescent="0.2">
      <c r="A192" t="s">
        <v>32</v>
      </c>
      <c r="B192">
        <v>865</v>
      </c>
      <c r="C192">
        <v>856</v>
      </c>
      <c r="D192">
        <v>856</v>
      </c>
      <c r="E192">
        <v>848</v>
      </c>
      <c r="F192">
        <v>870</v>
      </c>
      <c r="G192">
        <v>601</v>
      </c>
    </row>
    <row r="193" spans="1:8" x14ac:dyDescent="0.2">
      <c r="A193" t="s">
        <v>29</v>
      </c>
      <c r="B193">
        <v>870</v>
      </c>
      <c r="C193">
        <v>847</v>
      </c>
      <c r="D193">
        <v>862</v>
      </c>
      <c r="E193">
        <v>836</v>
      </c>
      <c r="F193">
        <v>870</v>
      </c>
      <c r="G193">
        <v>611</v>
      </c>
    </row>
    <row r="194" spans="1:8" x14ac:dyDescent="0.2">
      <c r="A194" t="s">
        <v>30</v>
      </c>
      <c r="B194">
        <v>841</v>
      </c>
      <c r="C194">
        <v>862</v>
      </c>
      <c r="D194">
        <v>868</v>
      </c>
      <c r="E194">
        <v>830</v>
      </c>
      <c r="F194">
        <v>852</v>
      </c>
      <c r="G194">
        <v>643</v>
      </c>
    </row>
    <row r="195" spans="1:8" x14ac:dyDescent="0.2">
      <c r="A195" t="s">
        <v>31</v>
      </c>
      <c r="B195">
        <v>863</v>
      </c>
      <c r="C195">
        <v>866</v>
      </c>
      <c r="D195">
        <v>832</v>
      </c>
      <c r="E195">
        <v>846</v>
      </c>
      <c r="F195">
        <v>800</v>
      </c>
      <c r="G195">
        <v>693</v>
      </c>
    </row>
    <row r="196" spans="1:8" x14ac:dyDescent="0.2">
      <c r="A196" t="s">
        <v>32</v>
      </c>
      <c r="B196">
        <v>468</v>
      </c>
      <c r="C196">
        <v>819</v>
      </c>
      <c r="D196">
        <v>868</v>
      </c>
      <c r="E196">
        <v>856</v>
      </c>
      <c r="F196">
        <v>866</v>
      </c>
      <c r="G196">
        <v>790</v>
      </c>
      <c r="H196">
        <v>233</v>
      </c>
    </row>
    <row r="197" spans="1:8" x14ac:dyDescent="0.2">
      <c r="A197" t="s">
        <v>29</v>
      </c>
      <c r="B197">
        <v>861</v>
      </c>
      <c r="C197">
        <v>868</v>
      </c>
      <c r="D197">
        <v>862</v>
      </c>
      <c r="E197">
        <v>816</v>
      </c>
      <c r="F197">
        <v>860</v>
      </c>
      <c r="G197">
        <v>633</v>
      </c>
    </row>
    <row r="198" spans="1:8" x14ac:dyDescent="0.2">
      <c r="A198" t="s">
        <v>30</v>
      </c>
      <c r="B198">
        <v>823</v>
      </c>
      <c r="C198">
        <v>844</v>
      </c>
      <c r="D198">
        <v>868</v>
      </c>
      <c r="E198">
        <v>837</v>
      </c>
      <c r="F198">
        <v>853</v>
      </c>
      <c r="G198">
        <v>671</v>
      </c>
    </row>
    <row r="199" spans="1:8" x14ac:dyDescent="0.2">
      <c r="A199" t="s">
        <v>31</v>
      </c>
      <c r="B199">
        <v>863</v>
      </c>
      <c r="C199">
        <v>862</v>
      </c>
      <c r="D199">
        <v>838</v>
      </c>
      <c r="E199">
        <v>824</v>
      </c>
      <c r="F199">
        <v>781</v>
      </c>
      <c r="G199">
        <v>728</v>
      </c>
    </row>
    <row r="200" spans="1:8" x14ac:dyDescent="0.2">
      <c r="A200" t="s">
        <v>32</v>
      </c>
      <c r="B200">
        <v>845</v>
      </c>
      <c r="C200">
        <v>858</v>
      </c>
      <c r="D200">
        <v>870</v>
      </c>
      <c r="E200">
        <v>840</v>
      </c>
      <c r="F200">
        <v>866</v>
      </c>
      <c r="G200">
        <v>621</v>
      </c>
    </row>
    <row r="201" spans="1:8" x14ac:dyDescent="0.2">
      <c r="A201" t="s">
        <v>29</v>
      </c>
      <c r="B201">
        <v>841</v>
      </c>
      <c r="C201">
        <v>869</v>
      </c>
      <c r="D201">
        <v>849</v>
      </c>
      <c r="E201">
        <v>834</v>
      </c>
      <c r="F201">
        <v>870</v>
      </c>
      <c r="G201">
        <v>633</v>
      </c>
    </row>
    <row r="202" spans="1:8" x14ac:dyDescent="0.2">
      <c r="A202" t="s">
        <v>30</v>
      </c>
      <c r="B202">
        <v>833</v>
      </c>
      <c r="C202">
        <v>772</v>
      </c>
      <c r="D202">
        <v>852</v>
      </c>
      <c r="E202">
        <v>838</v>
      </c>
      <c r="F202">
        <v>854</v>
      </c>
      <c r="G202">
        <v>747</v>
      </c>
    </row>
    <row r="203" spans="1:8" x14ac:dyDescent="0.2">
      <c r="A203" t="s">
        <v>31</v>
      </c>
      <c r="B203">
        <v>869</v>
      </c>
      <c r="C203">
        <v>822</v>
      </c>
      <c r="D203">
        <v>864</v>
      </c>
      <c r="E203">
        <v>796</v>
      </c>
      <c r="F203">
        <v>723</v>
      </c>
      <c r="G203">
        <v>826</v>
      </c>
    </row>
    <row r="204" spans="1:8" x14ac:dyDescent="0.2">
      <c r="A204" t="s">
        <v>32</v>
      </c>
      <c r="B204">
        <v>592</v>
      </c>
      <c r="C204">
        <v>809</v>
      </c>
      <c r="D204">
        <v>848</v>
      </c>
      <c r="E204">
        <v>842</v>
      </c>
      <c r="F204">
        <v>868</v>
      </c>
      <c r="G204">
        <v>807</v>
      </c>
      <c r="H204">
        <v>134</v>
      </c>
    </row>
    <row r="205" spans="1:8" x14ac:dyDescent="0.2">
      <c r="A205" t="s">
        <v>29</v>
      </c>
      <c r="B205">
        <v>853</v>
      </c>
      <c r="C205">
        <v>869</v>
      </c>
      <c r="D205">
        <v>865</v>
      </c>
      <c r="E205">
        <v>842</v>
      </c>
      <c r="F205">
        <v>870</v>
      </c>
      <c r="G205">
        <v>597</v>
      </c>
    </row>
    <row r="206" spans="1:8" x14ac:dyDescent="0.2">
      <c r="A206" t="s">
        <v>30</v>
      </c>
      <c r="B206">
        <v>869</v>
      </c>
      <c r="C206">
        <v>858</v>
      </c>
      <c r="D206">
        <v>866</v>
      </c>
      <c r="E206">
        <v>850</v>
      </c>
      <c r="F206">
        <v>848</v>
      </c>
      <c r="G206">
        <v>605</v>
      </c>
    </row>
    <row r="207" spans="1:8" x14ac:dyDescent="0.2">
      <c r="A207" t="s">
        <v>31</v>
      </c>
      <c r="B207">
        <v>870</v>
      </c>
      <c r="C207">
        <v>857</v>
      </c>
      <c r="D207">
        <v>870</v>
      </c>
      <c r="E207">
        <v>846</v>
      </c>
      <c r="F207">
        <v>689</v>
      </c>
      <c r="G207">
        <v>768</v>
      </c>
    </row>
    <row r="208" spans="1:8" x14ac:dyDescent="0.2">
      <c r="A208" t="s">
        <v>32</v>
      </c>
      <c r="B208">
        <v>826</v>
      </c>
      <c r="C208">
        <v>731</v>
      </c>
      <c r="D208">
        <v>856</v>
      </c>
      <c r="E208">
        <v>836</v>
      </c>
      <c r="F208">
        <v>862</v>
      </c>
      <c r="G208">
        <v>789</v>
      </c>
    </row>
    <row r="209" spans="1:7" x14ac:dyDescent="0.2">
      <c r="A209" t="s">
        <v>29</v>
      </c>
      <c r="B209">
        <v>837</v>
      </c>
      <c r="C209">
        <v>869</v>
      </c>
      <c r="D209">
        <v>870</v>
      </c>
      <c r="E209">
        <v>845</v>
      </c>
      <c r="F209">
        <v>870</v>
      </c>
      <c r="G209">
        <v>605</v>
      </c>
    </row>
    <row r="210" spans="1:7" x14ac:dyDescent="0.2">
      <c r="A210" t="s">
        <v>30</v>
      </c>
      <c r="B210">
        <v>841</v>
      </c>
      <c r="C210">
        <v>840</v>
      </c>
      <c r="D210">
        <v>868</v>
      </c>
      <c r="E210">
        <v>850</v>
      </c>
      <c r="F210">
        <v>868</v>
      </c>
      <c r="G210">
        <v>633</v>
      </c>
    </row>
    <row r="211" spans="1:7" x14ac:dyDescent="0.2">
      <c r="A211" t="s">
        <v>31</v>
      </c>
      <c r="B211">
        <v>870</v>
      </c>
      <c r="C211">
        <v>867</v>
      </c>
      <c r="D211">
        <v>846</v>
      </c>
      <c r="E211">
        <v>830</v>
      </c>
      <c r="F211">
        <v>835</v>
      </c>
      <c r="G211">
        <v>652</v>
      </c>
    </row>
    <row r="212" spans="1:7" x14ac:dyDescent="0.2">
      <c r="A212" t="s">
        <v>32</v>
      </c>
      <c r="B212">
        <v>859</v>
      </c>
      <c r="C212">
        <v>860</v>
      </c>
      <c r="D212">
        <v>860</v>
      </c>
      <c r="E212">
        <v>844</v>
      </c>
      <c r="F212">
        <v>852</v>
      </c>
      <c r="G212">
        <v>621</v>
      </c>
    </row>
    <row r="213" spans="1:7" x14ac:dyDescent="0.2">
      <c r="A213" t="s">
        <v>29</v>
      </c>
      <c r="B213">
        <v>853</v>
      </c>
      <c r="C213">
        <v>852</v>
      </c>
      <c r="D213">
        <v>856</v>
      </c>
      <c r="E213">
        <v>848</v>
      </c>
      <c r="F213">
        <v>870</v>
      </c>
      <c r="G213">
        <v>617</v>
      </c>
    </row>
    <row r="214" spans="1:7" x14ac:dyDescent="0.2">
      <c r="A214" t="s">
        <v>30</v>
      </c>
      <c r="B214">
        <v>847</v>
      </c>
      <c r="C214">
        <v>869</v>
      </c>
      <c r="D214">
        <v>870</v>
      </c>
      <c r="E214">
        <v>839</v>
      </c>
      <c r="F214">
        <v>868</v>
      </c>
      <c r="G214">
        <v>607</v>
      </c>
    </row>
    <row r="215" spans="1:7" x14ac:dyDescent="0.2">
      <c r="A215" t="s">
        <v>31</v>
      </c>
      <c r="B215">
        <v>855</v>
      </c>
      <c r="C215">
        <v>868</v>
      </c>
      <c r="D215">
        <v>862</v>
      </c>
      <c r="E215">
        <v>850</v>
      </c>
      <c r="F215">
        <v>701</v>
      </c>
      <c r="G215">
        <v>764</v>
      </c>
    </row>
    <row r="216" spans="1:7" x14ac:dyDescent="0.2">
      <c r="A216" t="s">
        <v>32</v>
      </c>
      <c r="B216">
        <v>870</v>
      </c>
      <c r="C216">
        <v>869</v>
      </c>
      <c r="D216">
        <v>866</v>
      </c>
      <c r="E216">
        <v>830</v>
      </c>
      <c r="F216">
        <v>868</v>
      </c>
      <c r="G216">
        <v>593</v>
      </c>
    </row>
    <row r="217" spans="1:7" x14ac:dyDescent="0.2">
      <c r="A217" t="s">
        <v>29</v>
      </c>
      <c r="B217">
        <v>857</v>
      </c>
      <c r="C217">
        <v>864</v>
      </c>
      <c r="D217">
        <v>870</v>
      </c>
      <c r="E217">
        <v>834</v>
      </c>
      <c r="F217">
        <v>862</v>
      </c>
      <c r="G217">
        <v>609</v>
      </c>
    </row>
    <row r="218" spans="1:7" x14ac:dyDescent="0.2">
      <c r="A218" t="s">
        <v>30</v>
      </c>
      <c r="B218">
        <v>865</v>
      </c>
      <c r="C218">
        <v>848</v>
      </c>
      <c r="D218">
        <v>850</v>
      </c>
      <c r="E218">
        <v>846</v>
      </c>
      <c r="F218">
        <v>842</v>
      </c>
      <c r="G218">
        <v>645</v>
      </c>
    </row>
    <row r="219" spans="1:7" x14ac:dyDescent="0.2">
      <c r="A219" t="s">
        <v>31</v>
      </c>
      <c r="B219">
        <v>865</v>
      </c>
      <c r="C219">
        <v>846</v>
      </c>
      <c r="D219">
        <v>856</v>
      </c>
      <c r="E219">
        <v>818</v>
      </c>
      <c r="F219">
        <v>765</v>
      </c>
      <c r="G219">
        <v>750</v>
      </c>
    </row>
    <row r="220" spans="1:7" x14ac:dyDescent="0.2">
      <c r="A220" t="s">
        <v>32</v>
      </c>
      <c r="B220">
        <v>801</v>
      </c>
      <c r="C220">
        <v>862</v>
      </c>
      <c r="D220">
        <v>868</v>
      </c>
      <c r="E220">
        <v>850</v>
      </c>
      <c r="F220">
        <v>858</v>
      </c>
      <c r="G220">
        <v>661</v>
      </c>
    </row>
    <row r="221" spans="1:7" x14ac:dyDescent="0.2">
      <c r="A221" t="s">
        <v>29</v>
      </c>
      <c r="B221">
        <v>861</v>
      </c>
      <c r="C221">
        <v>869</v>
      </c>
      <c r="D221">
        <v>867</v>
      </c>
      <c r="E221">
        <v>824</v>
      </c>
      <c r="F221">
        <v>848</v>
      </c>
      <c r="G221">
        <v>631</v>
      </c>
    </row>
    <row r="222" spans="1:7" x14ac:dyDescent="0.2">
      <c r="A222" t="s">
        <v>30</v>
      </c>
      <c r="B222">
        <v>859</v>
      </c>
      <c r="C222">
        <v>868</v>
      </c>
      <c r="D222">
        <v>840</v>
      </c>
      <c r="E222">
        <v>828</v>
      </c>
      <c r="F222">
        <v>870</v>
      </c>
      <c r="G222">
        <v>631</v>
      </c>
    </row>
    <row r="223" spans="1:7" x14ac:dyDescent="0.2">
      <c r="A223" t="s">
        <v>31</v>
      </c>
      <c r="B223">
        <v>853</v>
      </c>
      <c r="C223">
        <v>869</v>
      </c>
      <c r="D223">
        <v>835</v>
      </c>
      <c r="E223">
        <v>834</v>
      </c>
      <c r="F223">
        <v>771</v>
      </c>
      <c r="G223">
        <v>738</v>
      </c>
    </row>
    <row r="224" spans="1:7" x14ac:dyDescent="0.2">
      <c r="A224" t="s">
        <v>32</v>
      </c>
      <c r="B224">
        <v>855</v>
      </c>
      <c r="C224">
        <v>869</v>
      </c>
      <c r="D224">
        <v>870</v>
      </c>
      <c r="E224">
        <v>850</v>
      </c>
      <c r="F224">
        <v>867</v>
      </c>
      <c r="G224">
        <v>585</v>
      </c>
    </row>
    <row r="225" spans="1:7" x14ac:dyDescent="0.2">
      <c r="A225" t="s">
        <v>29</v>
      </c>
      <c r="B225">
        <v>857</v>
      </c>
      <c r="C225">
        <v>869</v>
      </c>
      <c r="D225">
        <v>867</v>
      </c>
      <c r="E225">
        <v>824</v>
      </c>
      <c r="F225">
        <v>860</v>
      </c>
      <c r="G225">
        <v>619</v>
      </c>
    </row>
    <row r="226" spans="1:7" x14ac:dyDescent="0.2">
      <c r="A226" t="s">
        <v>30</v>
      </c>
      <c r="B226">
        <v>863</v>
      </c>
      <c r="C226">
        <v>856</v>
      </c>
      <c r="D226">
        <v>852</v>
      </c>
      <c r="E226">
        <v>850</v>
      </c>
      <c r="F226">
        <v>860</v>
      </c>
      <c r="G226">
        <v>619</v>
      </c>
    </row>
    <row r="227" spans="1:7" x14ac:dyDescent="0.2">
      <c r="A227" t="s">
        <v>31</v>
      </c>
      <c r="B227">
        <v>853</v>
      </c>
      <c r="C227">
        <v>864</v>
      </c>
      <c r="D227">
        <v>866</v>
      </c>
      <c r="E227">
        <v>804</v>
      </c>
      <c r="F227">
        <v>767</v>
      </c>
      <c r="G227">
        <v>742</v>
      </c>
    </row>
    <row r="228" spans="1:7" x14ac:dyDescent="0.2">
      <c r="A228" t="s">
        <v>32</v>
      </c>
      <c r="B228">
        <v>829</v>
      </c>
      <c r="C228">
        <v>864</v>
      </c>
      <c r="D228">
        <v>862</v>
      </c>
      <c r="E228">
        <v>832</v>
      </c>
      <c r="F228">
        <v>870</v>
      </c>
      <c r="G228">
        <v>643</v>
      </c>
    </row>
    <row r="229" spans="1:7" x14ac:dyDescent="0.2">
      <c r="A229" t="s">
        <v>29</v>
      </c>
      <c r="B229">
        <v>870</v>
      </c>
      <c r="C229">
        <v>847</v>
      </c>
      <c r="D229">
        <v>868</v>
      </c>
      <c r="E229">
        <v>846</v>
      </c>
      <c r="F229">
        <v>864</v>
      </c>
      <c r="G229">
        <v>605</v>
      </c>
    </row>
    <row r="230" spans="1:7" x14ac:dyDescent="0.2">
      <c r="A230" t="s">
        <v>30</v>
      </c>
      <c r="B230">
        <v>839</v>
      </c>
      <c r="C230">
        <v>868</v>
      </c>
      <c r="D230">
        <v>870</v>
      </c>
      <c r="E230">
        <v>844</v>
      </c>
      <c r="F230">
        <v>870</v>
      </c>
      <c r="G230">
        <v>609</v>
      </c>
    </row>
    <row r="231" spans="1:7" x14ac:dyDescent="0.2">
      <c r="A231" t="s">
        <v>31</v>
      </c>
      <c r="B231">
        <v>855</v>
      </c>
      <c r="C231">
        <v>868</v>
      </c>
      <c r="D231">
        <v>866</v>
      </c>
      <c r="E231">
        <v>844</v>
      </c>
      <c r="F231">
        <v>742</v>
      </c>
      <c r="G231">
        <v>721</v>
      </c>
    </row>
    <row r="232" spans="1:7" x14ac:dyDescent="0.2">
      <c r="A232" t="s">
        <v>32</v>
      </c>
      <c r="B232">
        <v>861</v>
      </c>
      <c r="C232">
        <v>869</v>
      </c>
      <c r="D232">
        <v>870</v>
      </c>
      <c r="E232">
        <v>831</v>
      </c>
      <c r="F232">
        <v>700</v>
      </c>
      <c r="G232">
        <v>765</v>
      </c>
    </row>
    <row r="233" spans="1:7" x14ac:dyDescent="0.2">
      <c r="A233" t="s">
        <v>29</v>
      </c>
      <c r="B233">
        <v>861</v>
      </c>
      <c r="C233">
        <v>868</v>
      </c>
      <c r="D233">
        <v>846</v>
      </c>
      <c r="E233">
        <v>846</v>
      </c>
      <c r="F233">
        <v>870</v>
      </c>
      <c r="G233">
        <v>609</v>
      </c>
    </row>
    <row r="234" spans="1:7" x14ac:dyDescent="0.2">
      <c r="A234" t="s">
        <v>30</v>
      </c>
      <c r="B234">
        <v>857</v>
      </c>
      <c r="C234">
        <v>869</v>
      </c>
      <c r="D234">
        <v>867</v>
      </c>
      <c r="E234">
        <v>844</v>
      </c>
      <c r="F234">
        <v>846</v>
      </c>
      <c r="G234">
        <v>617</v>
      </c>
    </row>
    <row r="235" spans="1:7" x14ac:dyDescent="0.2">
      <c r="A235" t="s">
        <v>31</v>
      </c>
      <c r="B235">
        <v>870</v>
      </c>
      <c r="C235">
        <v>865</v>
      </c>
      <c r="D235">
        <v>870</v>
      </c>
      <c r="E235">
        <v>830</v>
      </c>
      <c r="F235">
        <v>733</v>
      </c>
      <c r="G235">
        <v>728</v>
      </c>
    </row>
    <row r="236" spans="1:7" x14ac:dyDescent="0.2">
      <c r="A236" t="s">
        <v>32</v>
      </c>
      <c r="B236">
        <v>863</v>
      </c>
      <c r="C236">
        <v>866</v>
      </c>
      <c r="D236">
        <v>870</v>
      </c>
      <c r="E236">
        <v>840</v>
      </c>
      <c r="F236">
        <v>848</v>
      </c>
      <c r="G236">
        <v>609</v>
      </c>
    </row>
    <row r="237" spans="1:7" x14ac:dyDescent="0.2">
      <c r="A237" t="s">
        <v>29</v>
      </c>
      <c r="B237">
        <v>853</v>
      </c>
      <c r="C237">
        <v>852</v>
      </c>
      <c r="D237">
        <v>862</v>
      </c>
      <c r="E237">
        <v>845</v>
      </c>
      <c r="F237">
        <v>865</v>
      </c>
      <c r="G237">
        <v>623</v>
      </c>
    </row>
    <row r="238" spans="1:7" x14ac:dyDescent="0.2">
      <c r="A238" t="s">
        <v>30</v>
      </c>
      <c r="B238">
        <v>870</v>
      </c>
      <c r="C238">
        <v>855</v>
      </c>
      <c r="D238">
        <v>858</v>
      </c>
      <c r="E238">
        <v>850</v>
      </c>
      <c r="F238">
        <v>862</v>
      </c>
      <c r="G238">
        <v>601</v>
      </c>
    </row>
    <row r="239" spans="1:7" x14ac:dyDescent="0.2">
      <c r="A239" t="s">
        <v>31</v>
      </c>
      <c r="B239">
        <v>867</v>
      </c>
      <c r="C239">
        <v>869</v>
      </c>
      <c r="D239">
        <v>855</v>
      </c>
      <c r="E239">
        <v>808</v>
      </c>
      <c r="F239">
        <v>733</v>
      </c>
      <c r="G239">
        <v>764</v>
      </c>
    </row>
    <row r="240" spans="1:7" x14ac:dyDescent="0.2">
      <c r="A240" t="s">
        <v>32</v>
      </c>
      <c r="B240">
        <v>821</v>
      </c>
      <c r="C240">
        <v>866</v>
      </c>
      <c r="D240">
        <v>868</v>
      </c>
      <c r="E240">
        <v>842</v>
      </c>
      <c r="F240">
        <v>860</v>
      </c>
      <c r="G240">
        <v>643</v>
      </c>
    </row>
    <row r="241" spans="1:8" x14ac:dyDescent="0.2">
      <c r="A241" t="s">
        <v>29</v>
      </c>
      <c r="B241">
        <v>861</v>
      </c>
      <c r="C241">
        <v>869</v>
      </c>
      <c r="D241">
        <v>867</v>
      </c>
      <c r="E241">
        <v>834</v>
      </c>
      <c r="F241">
        <v>864</v>
      </c>
      <c r="G241">
        <v>605</v>
      </c>
    </row>
    <row r="242" spans="1:8" x14ac:dyDescent="0.2">
      <c r="A242" t="s">
        <v>30</v>
      </c>
      <c r="B242">
        <v>865</v>
      </c>
      <c r="C242">
        <v>864</v>
      </c>
      <c r="D242">
        <v>854</v>
      </c>
      <c r="E242">
        <v>824</v>
      </c>
      <c r="F242">
        <v>854</v>
      </c>
      <c r="G242">
        <v>635</v>
      </c>
    </row>
    <row r="243" spans="1:8" x14ac:dyDescent="0.2">
      <c r="A243" t="s">
        <v>31</v>
      </c>
      <c r="B243">
        <v>861</v>
      </c>
      <c r="C243">
        <v>854</v>
      </c>
      <c r="D243">
        <v>858</v>
      </c>
      <c r="E243">
        <v>836</v>
      </c>
      <c r="F243">
        <v>753</v>
      </c>
      <c r="G243">
        <v>738</v>
      </c>
    </row>
    <row r="244" spans="1:8" x14ac:dyDescent="0.2">
      <c r="A244" t="s">
        <v>32</v>
      </c>
      <c r="B244">
        <v>861</v>
      </c>
      <c r="C244">
        <v>869</v>
      </c>
      <c r="D244">
        <v>865</v>
      </c>
      <c r="E244">
        <v>840</v>
      </c>
      <c r="F244">
        <v>563</v>
      </c>
      <c r="G244">
        <v>829</v>
      </c>
      <c r="H244">
        <v>69</v>
      </c>
    </row>
    <row r="245" spans="1:8" x14ac:dyDescent="0.2">
      <c r="A245" t="s">
        <v>29</v>
      </c>
      <c r="B245">
        <v>849</v>
      </c>
      <c r="C245">
        <v>866</v>
      </c>
      <c r="D245">
        <v>861</v>
      </c>
      <c r="E245">
        <v>849</v>
      </c>
      <c r="F245">
        <v>868</v>
      </c>
      <c r="G245">
        <v>607</v>
      </c>
    </row>
    <row r="246" spans="1:8" x14ac:dyDescent="0.2">
      <c r="A246" t="s">
        <v>30</v>
      </c>
      <c r="B246">
        <v>867</v>
      </c>
      <c r="C246">
        <v>844</v>
      </c>
      <c r="D246">
        <v>866</v>
      </c>
      <c r="E246">
        <v>842</v>
      </c>
      <c r="F246">
        <v>868</v>
      </c>
      <c r="G246">
        <v>613</v>
      </c>
    </row>
    <row r="247" spans="1:8" x14ac:dyDescent="0.2">
      <c r="A247" t="s">
        <v>31</v>
      </c>
      <c r="B247">
        <v>861</v>
      </c>
      <c r="C247">
        <v>865</v>
      </c>
      <c r="D247">
        <v>870</v>
      </c>
      <c r="E247">
        <v>827</v>
      </c>
      <c r="F247">
        <v>695</v>
      </c>
      <c r="G247">
        <v>778</v>
      </c>
    </row>
    <row r="248" spans="1:8" x14ac:dyDescent="0.2">
      <c r="A248" t="s">
        <v>32</v>
      </c>
      <c r="B248">
        <v>865</v>
      </c>
      <c r="C248">
        <v>868</v>
      </c>
      <c r="D248">
        <v>868</v>
      </c>
      <c r="E248">
        <v>850</v>
      </c>
      <c r="F248">
        <v>864</v>
      </c>
      <c r="G248">
        <v>581</v>
      </c>
    </row>
    <row r="249" spans="1:8" x14ac:dyDescent="0.2">
      <c r="A249" t="s">
        <v>29</v>
      </c>
      <c r="B249">
        <v>861</v>
      </c>
      <c r="C249">
        <v>864</v>
      </c>
      <c r="D249">
        <v>868</v>
      </c>
      <c r="E249">
        <v>834</v>
      </c>
      <c r="F249">
        <v>870</v>
      </c>
      <c r="G249">
        <v>603</v>
      </c>
    </row>
    <row r="250" spans="1:8" x14ac:dyDescent="0.2">
      <c r="A250" t="s">
        <v>30</v>
      </c>
      <c r="B250">
        <v>831</v>
      </c>
      <c r="C250">
        <v>856</v>
      </c>
      <c r="D250">
        <v>849</v>
      </c>
      <c r="E250">
        <v>843</v>
      </c>
      <c r="F250">
        <v>850</v>
      </c>
      <c r="G250">
        <v>667</v>
      </c>
    </row>
    <row r="251" spans="1:8" x14ac:dyDescent="0.2">
      <c r="A251" t="s">
        <v>31</v>
      </c>
      <c r="B251">
        <v>855</v>
      </c>
      <c r="C251">
        <v>856</v>
      </c>
      <c r="D251">
        <v>862</v>
      </c>
      <c r="E251">
        <v>838</v>
      </c>
      <c r="F251">
        <v>753</v>
      </c>
      <c r="G251">
        <v>732</v>
      </c>
    </row>
    <row r="252" spans="1:8" x14ac:dyDescent="0.2">
      <c r="A252" t="s">
        <v>32</v>
      </c>
      <c r="B252">
        <v>870</v>
      </c>
      <c r="C252">
        <v>863</v>
      </c>
      <c r="D252">
        <v>870</v>
      </c>
      <c r="E252">
        <v>850</v>
      </c>
      <c r="F252">
        <v>870</v>
      </c>
      <c r="G252">
        <v>577</v>
      </c>
    </row>
    <row r="253" spans="1:8" x14ac:dyDescent="0.2">
      <c r="A253" t="s">
        <v>29</v>
      </c>
      <c r="B253">
        <v>861</v>
      </c>
      <c r="C253">
        <v>868</v>
      </c>
      <c r="D253">
        <v>870</v>
      </c>
      <c r="E253">
        <v>850</v>
      </c>
      <c r="F253">
        <v>852</v>
      </c>
      <c r="G253">
        <v>595</v>
      </c>
    </row>
    <row r="254" spans="1:8" x14ac:dyDescent="0.2">
      <c r="A254" t="s">
        <v>30</v>
      </c>
      <c r="B254">
        <v>869</v>
      </c>
      <c r="C254">
        <v>860</v>
      </c>
      <c r="D254">
        <v>862</v>
      </c>
      <c r="E254">
        <v>844</v>
      </c>
      <c r="F254">
        <v>870</v>
      </c>
      <c r="G254">
        <v>591</v>
      </c>
    </row>
    <row r="255" spans="1:8" x14ac:dyDescent="0.2">
      <c r="A255" t="s">
        <v>31</v>
      </c>
      <c r="B255">
        <v>870</v>
      </c>
      <c r="C255">
        <v>843</v>
      </c>
      <c r="D255">
        <v>856</v>
      </c>
      <c r="E255">
        <v>822</v>
      </c>
      <c r="F255">
        <v>767</v>
      </c>
      <c r="G255">
        <v>742</v>
      </c>
    </row>
    <row r="256" spans="1:8" x14ac:dyDescent="0.2">
      <c r="A256" t="s">
        <v>32</v>
      </c>
      <c r="B256">
        <v>664</v>
      </c>
      <c r="C256">
        <v>829</v>
      </c>
      <c r="D256">
        <v>869</v>
      </c>
      <c r="E256">
        <v>845</v>
      </c>
      <c r="F256">
        <v>866</v>
      </c>
      <c r="G256">
        <v>827</v>
      </c>
    </row>
    <row r="257" spans="1:8" x14ac:dyDescent="0.2">
      <c r="A257" t="s">
        <v>29</v>
      </c>
      <c r="B257">
        <v>837</v>
      </c>
      <c r="C257">
        <v>869</v>
      </c>
      <c r="D257">
        <v>863</v>
      </c>
      <c r="E257">
        <v>824</v>
      </c>
      <c r="F257">
        <v>862</v>
      </c>
      <c r="G257">
        <v>645</v>
      </c>
    </row>
    <row r="258" spans="1:8" x14ac:dyDescent="0.2">
      <c r="A258" t="s">
        <v>30</v>
      </c>
      <c r="B258">
        <v>867</v>
      </c>
      <c r="C258">
        <v>858</v>
      </c>
      <c r="D258">
        <v>836</v>
      </c>
      <c r="E258">
        <v>836</v>
      </c>
      <c r="F258">
        <v>862</v>
      </c>
      <c r="G258">
        <v>637</v>
      </c>
    </row>
    <row r="259" spans="1:8" x14ac:dyDescent="0.2">
      <c r="A259" t="s">
        <v>31</v>
      </c>
      <c r="B259">
        <v>855</v>
      </c>
      <c r="C259">
        <v>844</v>
      </c>
      <c r="D259">
        <v>870</v>
      </c>
      <c r="E259">
        <v>774</v>
      </c>
      <c r="F259">
        <v>733</v>
      </c>
      <c r="G259">
        <v>820</v>
      </c>
    </row>
    <row r="260" spans="1:8" x14ac:dyDescent="0.2">
      <c r="A260" t="s">
        <v>32</v>
      </c>
      <c r="B260">
        <v>847</v>
      </c>
      <c r="C260">
        <v>862</v>
      </c>
      <c r="D260">
        <v>858</v>
      </c>
      <c r="E260">
        <v>850</v>
      </c>
      <c r="F260">
        <v>864</v>
      </c>
      <c r="G260">
        <v>619</v>
      </c>
    </row>
    <row r="261" spans="1:8" x14ac:dyDescent="0.2">
      <c r="A261" t="s">
        <v>29</v>
      </c>
      <c r="B261">
        <v>861</v>
      </c>
      <c r="C261">
        <v>869</v>
      </c>
      <c r="D261">
        <v>870</v>
      </c>
      <c r="E261">
        <v>831</v>
      </c>
      <c r="F261">
        <v>860</v>
      </c>
      <c r="G261">
        <v>609</v>
      </c>
    </row>
    <row r="262" spans="1:8" x14ac:dyDescent="0.2">
      <c r="A262" t="s">
        <v>30</v>
      </c>
      <c r="B262">
        <v>861</v>
      </c>
      <c r="C262">
        <v>860</v>
      </c>
      <c r="D262">
        <v>846</v>
      </c>
      <c r="E262">
        <v>828</v>
      </c>
      <c r="F262">
        <v>866</v>
      </c>
      <c r="G262">
        <v>635</v>
      </c>
    </row>
    <row r="263" spans="1:8" x14ac:dyDescent="0.2">
      <c r="A263" t="s">
        <v>31</v>
      </c>
      <c r="B263">
        <v>863</v>
      </c>
      <c r="C263">
        <v>864</v>
      </c>
      <c r="D263">
        <v>852</v>
      </c>
      <c r="E263">
        <v>818</v>
      </c>
      <c r="F263">
        <v>775</v>
      </c>
      <c r="G263">
        <v>724</v>
      </c>
    </row>
    <row r="264" spans="1:8" x14ac:dyDescent="0.2">
      <c r="A264" t="s">
        <v>32</v>
      </c>
      <c r="B264">
        <v>849</v>
      </c>
      <c r="C264">
        <v>869</v>
      </c>
      <c r="D264">
        <v>870</v>
      </c>
      <c r="E264">
        <v>835</v>
      </c>
      <c r="F264">
        <v>844</v>
      </c>
      <c r="G264">
        <v>633</v>
      </c>
    </row>
    <row r="265" spans="1:8" x14ac:dyDescent="0.2">
      <c r="A265" t="s">
        <v>29</v>
      </c>
      <c r="B265">
        <v>870</v>
      </c>
      <c r="C265">
        <v>859</v>
      </c>
      <c r="D265">
        <v>850</v>
      </c>
      <c r="E265">
        <v>838</v>
      </c>
      <c r="F265">
        <v>866</v>
      </c>
      <c r="G265">
        <v>613</v>
      </c>
    </row>
    <row r="266" spans="1:8" x14ac:dyDescent="0.2">
      <c r="A266" t="s">
        <v>30</v>
      </c>
      <c r="B266">
        <v>863</v>
      </c>
      <c r="C266">
        <v>869</v>
      </c>
      <c r="D266">
        <v>847</v>
      </c>
      <c r="E266">
        <v>844</v>
      </c>
      <c r="F266">
        <v>870</v>
      </c>
      <c r="G266">
        <v>603</v>
      </c>
    </row>
    <row r="267" spans="1:8" x14ac:dyDescent="0.2">
      <c r="A267" t="s">
        <v>31</v>
      </c>
      <c r="B267">
        <v>865</v>
      </c>
      <c r="C267">
        <v>854</v>
      </c>
      <c r="D267">
        <v>870</v>
      </c>
      <c r="E267">
        <v>844</v>
      </c>
      <c r="F267">
        <v>766</v>
      </c>
      <c r="G267">
        <v>701</v>
      </c>
    </row>
    <row r="268" spans="1:8" x14ac:dyDescent="0.2">
      <c r="A268" t="s">
        <v>32</v>
      </c>
      <c r="B268">
        <v>867</v>
      </c>
      <c r="C268">
        <v>856</v>
      </c>
      <c r="D268">
        <v>870</v>
      </c>
      <c r="E268">
        <v>834</v>
      </c>
      <c r="F268">
        <v>868</v>
      </c>
      <c r="G268">
        <v>605</v>
      </c>
    </row>
    <row r="269" spans="1:8" x14ac:dyDescent="0.2">
      <c r="A269" t="s">
        <v>29</v>
      </c>
      <c r="B269">
        <v>870</v>
      </c>
      <c r="C269">
        <v>869</v>
      </c>
      <c r="D269">
        <v>870</v>
      </c>
      <c r="E269">
        <v>842</v>
      </c>
      <c r="F269">
        <v>860</v>
      </c>
      <c r="G269">
        <v>589</v>
      </c>
    </row>
    <row r="270" spans="1:8" x14ac:dyDescent="0.2">
      <c r="A270" t="s">
        <v>30</v>
      </c>
      <c r="B270">
        <v>857</v>
      </c>
      <c r="C270">
        <v>862</v>
      </c>
      <c r="D270">
        <v>870</v>
      </c>
      <c r="E270">
        <v>838</v>
      </c>
      <c r="F270">
        <v>870</v>
      </c>
      <c r="G270">
        <v>603</v>
      </c>
    </row>
    <row r="271" spans="1:8" x14ac:dyDescent="0.2">
      <c r="A271" t="s">
        <v>31</v>
      </c>
      <c r="B271">
        <v>870</v>
      </c>
      <c r="C271">
        <v>867</v>
      </c>
      <c r="D271">
        <v>860</v>
      </c>
      <c r="E271">
        <v>850</v>
      </c>
      <c r="F271">
        <v>870</v>
      </c>
      <c r="G271">
        <v>579</v>
      </c>
    </row>
    <row r="272" spans="1:8" x14ac:dyDescent="0.2">
      <c r="A272" t="s">
        <v>32</v>
      </c>
      <c r="B272">
        <v>440</v>
      </c>
      <c r="C272">
        <v>825</v>
      </c>
      <c r="D272">
        <v>866</v>
      </c>
      <c r="E272">
        <v>870</v>
      </c>
      <c r="F272">
        <v>860</v>
      </c>
      <c r="G272">
        <v>758</v>
      </c>
      <c r="H272">
        <v>277</v>
      </c>
    </row>
    <row r="273" spans="1:8" x14ac:dyDescent="0.2">
      <c r="A273" t="s">
        <v>29</v>
      </c>
      <c r="B273">
        <v>861</v>
      </c>
      <c r="C273">
        <v>864</v>
      </c>
      <c r="D273">
        <v>844</v>
      </c>
      <c r="E273">
        <v>840</v>
      </c>
      <c r="F273">
        <v>870</v>
      </c>
      <c r="G273">
        <v>621</v>
      </c>
    </row>
    <row r="274" spans="1:8" x14ac:dyDescent="0.2">
      <c r="A274" t="s">
        <v>30</v>
      </c>
      <c r="B274">
        <v>870</v>
      </c>
      <c r="C274">
        <v>827</v>
      </c>
      <c r="D274">
        <v>840</v>
      </c>
      <c r="E274">
        <v>820</v>
      </c>
      <c r="F274">
        <v>870</v>
      </c>
      <c r="G274">
        <v>669</v>
      </c>
    </row>
    <row r="275" spans="1:8" x14ac:dyDescent="0.2">
      <c r="A275" t="s">
        <v>31</v>
      </c>
      <c r="B275">
        <v>859</v>
      </c>
      <c r="C275">
        <v>836</v>
      </c>
      <c r="D275">
        <v>868</v>
      </c>
      <c r="E275">
        <v>830</v>
      </c>
      <c r="F275">
        <v>771</v>
      </c>
      <c r="G275">
        <v>732</v>
      </c>
    </row>
    <row r="276" spans="1:8" x14ac:dyDescent="0.2">
      <c r="A276" t="s">
        <v>32</v>
      </c>
      <c r="B276">
        <v>841</v>
      </c>
      <c r="C276">
        <v>846</v>
      </c>
      <c r="D276">
        <v>856</v>
      </c>
      <c r="E276">
        <v>850</v>
      </c>
      <c r="F276">
        <v>866</v>
      </c>
      <c r="G276">
        <v>641</v>
      </c>
    </row>
    <row r="277" spans="1:8" x14ac:dyDescent="0.2">
      <c r="A277" t="s">
        <v>29</v>
      </c>
      <c r="B277">
        <v>870</v>
      </c>
      <c r="C277">
        <v>867</v>
      </c>
      <c r="D277">
        <v>854</v>
      </c>
      <c r="E277">
        <v>838</v>
      </c>
      <c r="F277">
        <v>862</v>
      </c>
      <c r="G277">
        <v>609</v>
      </c>
    </row>
    <row r="278" spans="1:8" x14ac:dyDescent="0.2">
      <c r="A278" t="s">
        <v>30</v>
      </c>
      <c r="B278">
        <v>869</v>
      </c>
      <c r="C278">
        <v>869</v>
      </c>
      <c r="D278">
        <v>870</v>
      </c>
      <c r="E278">
        <v>823</v>
      </c>
      <c r="F278">
        <v>852</v>
      </c>
      <c r="G278">
        <v>613</v>
      </c>
    </row>
    <row r="279" spans="1:8" x14ac:dyDescent="0.2">
      <c r="A279" t="s">
        <v>31</v>
      </c>
      <c r="B279">
        <v>867</v>
      </c>
      <c r="C279">
        <v>863</v>
      </c>
      <c r="D279">
        <v>851</v>
      </c>
      <c r="E279">
        <v>850</v>
      </c>
      <c r="F279">
        <v>704</v>
      </c>
      <c r="G279">
        <v>761</v>
      </c>
    </row>
    <row r="280" spans="1:8" x14ac:dyDescent="0.2">
      <c r="A280" t="s">
        <v>32</v>
      </c>
      <c r="B280">
        <v>870</v>
      </c>
      <c r="C280">
        <v>857</v>
      </c>
      <c r="D280">
        <v>868</v>
      </c>
      <c r="E280">
        <v>850</v>
      </c>
      <c r="F280">
        <v>868</v>
      </c>
      <c r="G280">
        <v>587</v>
      </c>
    </row>
    <row r="281" spans="1:8" x14ac:dyDescent="0.2">
      <c r="A281" t="s">
        <v>29</v>
      </c>
      <c r="B281">
        <v>849</v>
      </c>
      <c r="C281">
        <v>854</v>
      </c>
      <c r="D281">
        <v>846</v>
      </c>
      <c r="E281">
        <v>838</v>
      </c>
      <c r="F281">
        <v>854</v>
      </c>
      <c r="G281">
        <v>659</v>
      </c>
    </row>
    <row r="282" spans="1:8" x14ac:dyDescent="0.2">
      <c r="A282" t="s">
        <v>30</v>
      </c>
      <c r="B282">
        <v>870</v>
      </c>
      <c r="C282">
        <v>869</v>
      </c>
      <c r="D282">
        <v>868</v>
      </c>
      <c r="E282">
        <v>822</v>
      </c>
      <c r="F282">
        <v>862</v>
      </c>
      <c r="G282">
        <v>605</v>
      </c>
    </row>
    <row r="283" spans="1:8" x14ac:dyDescent="0.2">
      <c r="A283" t="s">
        <v>31</v>
      </c>
      <c r="B283">
        <v>870</v>
      </c>
      <c r="C283">
        <v>855</v>
      </c>
      <c r="D283">
        <v>866</v>
      </c>
      <c r="E283">
        <v>740</v>
      </c>
      <c r="F283">
        <v>779</v>
      </c>
      <c r="G283">
        <v>790</v>
      </c>
    </row>
    <row r="284" spans="1:8" x14ac:dyDescent="0.2">
      <c r="A284" t="s">
        <v>32</v>
      </c>
      <c r="B284">
        <v>552</v>
      </c>
      <c r="C284">
        <v>815</v>
      </c>
      <c r="D284">
        <v>862</v>
      </c>
      <c r="E284">
        <v>849</v>
      </c>
      <c r="F284">
        <v>863</v>
      </c>
      <c r="G284">
        <v>823</v>
      </c>
      <c r="H284">
        <v>132</v>
      </c>
    </row>
    <row r="285" spans="1:8" x14ac:dyDescent="0.2">
      <c r="A285" t="s">
        <v>29</v>
      </c>
      <c r="B285">
        <v>857</v>
      </c>
      <c r="C285">
        <v>864</v>
      </c>
      <c r="D285">
        <v>864</v>
      </c>
      <c r="E285">
        <v>848</v>
      </c>
      <c r="F285">
        <v>870</v>
      </c>
      <c r="G285">
        <v>593</v>
      </c>
    </row>
    <row r="286" spans="1:8" x14ac:dyDescent="0.2">
      <c r="A286" t="s">
        <v>30</v>
      </c>
      <c r="B286">
        <v>841</v>
      </c>
      <c r="C286">
        <v>834</v>
      </c>
      <c r="D286">
        <v>870</v>
      </c>
      <c r="E286">
        <v>828</v>
      </c>
      <c r="F286">
        <v>854</v>
      </c>
      <c r="G286">
        <v>673</v>
      </c>
    </row>
    <row r="287" spans="1:8" x14ac:dyDescent="0.2">
      <c r="A287" t="s">
        <v>31</v>
      </c>
      <c r="B287">
        <v>855</v>
      </c>
      <c r="C287">
        <v>868</v>
      </c>
      <c r="D287">
        <v>870</v>
      </c>
      <c r="E287">
        <v>822</v>
      </c>
      <c r="F287">
        <v>735</v>
      </c>
      <c r="G287">
        <v>750</v>
      </c>
    </row>
    <row r="288" spans="1:8" x14ac:dyDescent="0.2">
      <c r="A288" t="s">
        <v>32</v>
      </c>
      <c r="B288">
        <v>783</v>
      </c>
      <c r="C288">
        <v>828</v>
      </c>
      <c r="D288">
        <v>852</v>
      </c>
      <c r="E288">
        <v>848</v>
      </c>
      <c r="F288">
        <v>862</v>
      </c>
      <c r="G288">
        <v>723</v>
      </c>
    </row>
    <row r="289" spans="1:8" x14ac:dyDescent="0.2">
      <c r="A289" t="s">
        <v>29</v>
      </c>
      <c r="B289">
        <v>869</v>
      </c>
      <c r="C289">
        <v>854</v>
      </c>
      <c r="D289">
        <v>844</v>
      </c>
      <c r="E289">
        <v>830</v>
      </c>
      <c r="F289">
        <v>864</v>
      </c>
      <c r="G289">
        <v>639</v>
      </c>
    </row>
    <row r="290" spans="1:8" x14ac:dyDescent="0.2">
      <c r="A290" t="s">
        <v>30</v>
      </c>
      <c r="B290">
        <v>859</v>
      </c>
      <c r="C290">
        <v>844</v>
      </c>
      <c r="D290">
        <v>870</v>
      </c>
      <c r="E290">
        <v>832</v>
      </c>
      <c r="F290">
        <v>862</v>
      </c>
      <c r="G290">
        <v>633</v>
      </c>
    </row>
    <row r="291" spans="1:8" x14ac:dyDescent="0.2">
      <c r="A291" t="s">
        <v>31</v>
      </c>
      <c r="B291">
        <v>829</v>
      </c>
      <c r="C291">
        <v>866</v>
      </c>
      <c r="D291">
        <v>744</v>
      </c>
      <c r="E291">
        <v>850</v>
      </c>
      <c r="F291">
        <v>861</v>
      </c>
      <c r="G291">
        <v>746</v>
      </c>
    </row>
    <row r="292" spans="1:8" x14ac:dyDescent="0.2">
      <c r="A292" t="s">
        <v>32</v>
      </c>
      <c r="B292">
        <v>869</v>
      </c>
      <c r="C292">
        <v>860</v>
      </c>
      <c r="D292">
        <v>870</v>
      </c>
      <c r="E292">
        <v>846</v>
      </c>
      <c r="F292">
        <v>864</v>
      </c>
      <c r="G292">
        <v>587</v>
      </c>
    </row>
    <row r="293" spans="1:8" x14ac:dyDescent="0.2">
      <c r="A293" t="s">
        <v>29</v>
      </c>
      <c r="B293">
        <v>809</v>
      </c>
      <c r="C293">
        <v>816</v>
      </c>
      <c r="D293">
        <v>870</v>
      </c>
      <c r="E293">
        <v>850</v>
      </c>
      <c r="F293">
        <v>856</v>
      </c>
      <c r="G293">
        <v>699</v>
      </c>
    </row>
    <row r="294" spans="1:8" x14ac:dyDescent="0.2">
      <c r="A294" t="s">
        <v>30</v>
      </c>
      <c r="B294">
        <v>859</v>
      </c>
      <c r="C294">
        <v>846</v>
      </c>
      <c r="D294">
        <v>860</v>
      </c>
      <c r="E294">
        <v>844</v>
      </c>
      <c r="F294">
        <v>862</v>
      </c>
      <c r="G294">
        <v>625</v>
      </c>
    </row>
    <row r="295" spans="1:8" x14ac:dyDescent="0.2">
      <c r="A295" t="s">
        <v>31</v>
      </c>
      <c r="B295">
        <v>870</v>
      </c>
      <c r="C295">
        <v>869</v>
      </c>
      <c r="D295">
        <v>864</v>
      </c>
      <c r="E295">
        <v>624</v>
      </c>
      <c r="F295">
        <v>728</v>
      </c>
      <c r="G295">
        <v>798</v>
      </c>
      <c r="H295">
        <v>147</v>
      </c>
    </row>
    <row r="296" spans="1:8" x14ac:dyDescent="0.2">
      <c r="A296" t="s">
        <v>32</v>
      </c>
      <c r="B296">
        <v>869</v>
      </c>
      <c r="C296">
        <v>808</v>
      </c>
      <c r="D296">
        <v>870</v>
      </c>
      <c r="E296">
        <v>842</v>
      </c>
      <c r="F296">
        <v>868</v>
      </c>
      <c r="G296">
        <v>639</v>
      </c>
    </row>
    <row r="297" spans="1:8" x14ac:dyDescent="0.2">
      <c r="A297" t="s">
        <v>29</v>
      </c>
      <c r="B297">
        <v>863</v>
      </c>
      <c r="C297">
        <v>862</v>
      </c>
      <c r="D297">
        <v>864</v>
      </c>
      <c r="E297">
        <v>796</v>
      </c>
      <c r="F297">
        <v>870</v>
      </c>
      <c r="G297">
        <v>645</v>
      </c>
    </row>
    <row r="298" spans="1:8" x14ac:dyDescent="0.2">
      <c r="A298" t="s">
        <v>30</v>
      </c>
      <c r="B298">
        <v>861</v>
      </c>
      <c r="C298">
        <v>838</v>
      </c>
      <c r="D298">
        <v>870</v>
      </c>
      <c r="E298">
        <v>850</v>
      </c>
      <c r="F298">
        <v>860</v>
      </c>
      <c r="G298">
        <v>617</v>
      </c>
    </row>
    <row r="299" spans="1:8" x14ac:dyDescent="0.2">
      <c r="A299" t="s">
        <v>31</v>
      </c>
      <c r="B299">
        <v>861</v>
      </c>
      <c r="C299">
        <v>836</v>
      </c>
      <c r="D299">
        <v>852</v>
      </c>
      <c r="E299">
        <v>850</v>
      </c>
      <c r="F299">
        <v>763</v>
      </c>
      <c r="G299">
        <v>738</v>
      </c>
    </row>
    <row r="300" spans="1:8" x14ac:dyDescent="0.2">
      <c r="A300" t="s">
        <v>32</v>
      </c>
      <c r="B300">
        <v>859</v>
      </c>
      <c r="C300">
        <v>860</v>
      </c>
      <c r="D300">
        <v>870</v>
      </c>
      <c r="E300">
        <v>848</v>
      </c>
      <c r="F300">
        <v>866</v>
      </c>
      <c r="G300">
        <v>593</v>
      </c>
    </row>
    <row r="301" spans="1:8" x14ac:dyDescent="0.2">
      <c r="A301" t="s">
        <v>29</v>
      </c>
      <c r="B301">
        <v>833</v>
      </c>
      <c r="C301">
        <v>752</v>
      </c>
      <c r="D301">
        <v>850</v>
      </c>
      <c r="E301">
        <v>826</v>
      </c>
      <c r="F301">
        <v>854</v>
      </c>
      <c r="G301">
        <v>781</v>
      </c>
    </row>
    <row r="302" spans="1:8" x14ac:dyDescent="0.2">
      <c r="A302" t="s">
        <v>30</v>
      </c>
      <c r="B302">
        <v>859</v>
      </c>
      <c r="C302">
        <v>866</v>
      </c>
      <c r="D302">
        <v>856</v>
      </c>
      <c r="E302">
        <v>834</v>
      </c>
      <c r="F302">
        <v>870</v>
      </c>
      <c r="G302">
        <v>615</v>
      </c>
    </row>
    <row r="303" spans="1:8" x14ac:dyDescent="0.2">
      <c r="A303" t="s">
        <v>31</v>
      </c>
      <c r="B303">
        <v>849</v>
      </c>
      <c r="C303">
        <v>869</v>
      </c>
      <c r="D303">
        <v>849</v>
      </c>
      <c r="E303">
        <v>580</v>
      </c>
      <c r="F303">
        <v>870</v>
      </c>
      <c r="G303">
        <v>829</v>
      </c>
      <c r="H303">
        <v>54</v>
      </c>
    </row>
    <row r="304" spans="1:8" x14ac:dyDescent="0.2">
      <c r="A304" t="s">
        <v>32</v>
      </c>
      <c r="B304">
        <v>799</v>
      </c>
      <c r="C304">
        <v>822</v>
      </c>
      <c r="D304">
        <v>866</v>
      </c>
      <c r="E304">
        <v>838</v>
      </c>
      <c r="F304">
        <v>848</v>
      </c>
      <c r="G304">
        <v>723</v>
      </c>
    </row>
    <row r="305" spans="1:8" x14ac:dyDescent="0.2">
      <c r="A305" t="s">
        <v>29</v>
      </c>
      <c r="B305">
        <v>845</v>
      </c>
      <c r="C305">
        <v>866</v>
      </c>
      <c r="D305">
        <v>849</v>
      </c>
      <c r="E305">
        <v>825</v>
      </c>
      <c r="F305">
        <v>858</v>
      </c>
      <c r="G305">
        <v>657</v>
      </c>
    </row>
    <row r="306" spans="1:8" x14ac:dyDescent="0.2">
      <c r="A306" t="s">
        <v>30</v>
      </c>
      <c r="B306">
        <v>855</v>
      </c>
      <c r="C306">
        <v>856</v>
      </c>
      <c r="D306">
        <v>862</v>
      </c>
      <c r="E306">
        <v>846</v>
      </c>
      <c r="F306">
        <v>856</v>
      </c>
      <c r="G306">
        <v>621</v>
      </c>
    </row>
    <row r="307" spans="1:8" x14ac:dyDescent="0.2">
      <c r="A307" t="s">
        <v>31</v>
      </c>
      <c r="B307">
        <v>869</v>
      </c>
      <c r="C307">
        <v>858</v>
      </c>
      <c r="D307">
        <v>866</v>
      </c>
      <c r="E307">
        <v>843</v>
      </c>
      <c r="F307">
        <v>870</v>
      </c>
      <c r="G307">
        <v>590</v>
      </c>
    </row>
    <row r="308" spans="1:8" x14ac:dyDescent="0.2">
      <c r="A308" t="s">
        <v>32</v>
      </c>
      <c r="B308">
        <v>870</v>
      </c>
      <c r="C308">
        <v>865</v>
      </c>
      <c r="D308">
        <v>850</v>
      </c>
      <c r="E308">
        <v>846</v>
      </c>
      <c r="F308">
        <v>870</v>
      </c>
      <c r="G308">
        <v>599</v>
      </c>
    </row>
    <row r="309" spans="1:8" x14ac:dyDescent="0.2">
      <c r="A309" t="s">
        <v>29</v>
      </c>
      <c r="B309">
        <v>849</v>
      </c>
      <c r="C309">
        <v>862</v>
      </c>
      <c r="D309">
        <v>870</v>
      </c>
      <c r="E309">
        <v>850</v>
      </c>
      <c r="F309">
        <v>860</v>
      </c>
      <c r="G309">
        <v>609</v>
      </c>
    </row>
    <row r="310" spans="1:8" x14ac:dyDescent="0.2">
      <c r="A310" t="s">
        <v>30</v>
      </c>
      <c r="B310">
        <v>863</v>
      </c>
      <c r="C310">
        <v>854</v>
      </c>
      <c r="D310">
        <v>866</v>
      </c>
      <c r="E310">
        <v>850</v>
      </c>
      <c r="F310">
        <v>870</v>
      </c>
      <c r="G310">
        <v>593</v>
      </c>
    </row>
    <row r="311" spans="1:8" x14ac:dyDescent="0.2">
      <c r="A311" t="s">
        <v>31</v>
      </c>
      <c r="B311">
        <v>865</v>
      </c>
      <c r="C311">
        <v>868</v>
      </c>
      <c r="D311">
        <v>862</v>
      </c>
      <c r="E311">
        <v>816</v>
      </c>
      <c r="F311">
        <v>707</v>
      </c>
      <c r="G311">
        <v>782</v>
      </c>
    </row>
    <row r="312" spans="1:8" x14ac:dyDescent="0.2">
      <c r="A312" t="s">
        <v>32</v>
      </c>
      <c r="B312">
        <v>799</v>
      </c>
      <c r="C312">
        <v>828</v>
      </c>
      <c r="D312">
        <v>854</v>
      </c>
      <c r="E312">
        <v>830</v>
      </c>
      <c r="F312">
        <v>870</v>
      </c>
      <c r="G312">
        <v>715</v>
      </c>
    </row>
    <row r="313" spans="1:8" x14ac:dyDescent="0.2">
      <c r="A313" t="s">
        <v>29</v>
      </c>
      <c r="B313">
        <v>517</v>
      </c>
      <c r="C313">
        <v>829</v>
      </c>
      <c r="D313">
        <v>865</v>
      </c>
      <c r="E313">
        <v>1686</v>
      </c>
      <c r="F313">
        <v>828</v>
      </c>
      <c r="G313">
        <v>171</v>
      </c>
    </row>
    <row r="314" spans="1:8" x14ac:dyDescent="0.2">
      <c r="A314" t="s">
        <v>30</v>
      </c>
      <c r="B314">
        <v>865</v>
      </c>
      <c r="C314">
        <v>866</v>
      </c>
      <c r="D314">
        <v>868</v>
      </c>
      <c r="E314">
        <v>850</v>
      </c>
      <c r="F314">
        <v>850</v>
      </c>
      <c r="G314">
        <v>597</v>
      </c>
    </row>
    <row r="315" spans="1:8" x14ac:dyDescent="0.2">
      <c r="A315" t="s">
        <v>31</v>
      </c>
      <c r="B315">
        <v>859</v>
      </c>
      <c r="C315">
        <v>850</v>
      </c>
      <c r="D315">
        <v>862</v>
      </c>
      <c r="E315">
        <v>850</v>
      </c>
      <c r="F315">
        <v>870</v>
      </c>
      <c r="G315">
        <v>609</v>
      </c>
    </row>
    <row r="316" spans="1:8" x14ac:dyDescent="0.2">
      <c r="A316" t="s">
        <v>32</v>
      </c>
      <c r="B316">
        <v>542</v>
      </c>
      <c r="C316">
        <v>795</v>
      </c>
      <c r="D316">
        <v>852</v>
      </c>
      <c r="E316">
        <v>856</v>
      </c>
      <c r="F316">
        <v>866</v>
      </c>
      <c r="G316">
        <v>785</v>
      </c>
      <c r="H316">
        <v>204</v>
      </c>
    </row>
    <row r="317" spans="1:8" x14ac:dyDescent="0.2">
      <c r="A317" t="s">
        <v>29</v>
      </c>
      <c r="B317">
        <v>837</v>
      </c>
      <c r="C317">
        <v>869</v>
      </c>
      <c r="D317">
        <v>870</v>
      </c>
      <c r="E317">
        <v>850</v>
      </c>
      <c r="F317">
        <v>865</v>
      </c>
      <c r="G317">
        <v>609</v>
      </c>
    </row>
    <row r="318" spans="1:8" x14ac:dyDescent="0.2">
      <c r="A318" t="s">
        <v>30</v>
      </c>
      <c r="B318">
        <v>870</v>
      </c>
      <c r="C318">
        <v>853</v>
      </c>
      <c r="D318">
        <v>840</v>
      </c>
      <c r="E318">
        <v>850</v>
      </c>
      <c r="F318">
        <v>870</v>
      </c>
      <c r="G318">
        <v>613</v>
      </c>
    </row>
    <row r="319" spans="1:8" x14ac:dyDescent="0.2">
      <c r="A319" t="s">
        <v>31</v>
      </c>
      <c r="B319">
        <v>867</v>
      </c>
      <c r="C319">
        <v>868</v>
      </c>
      <c r="D319">
        <v>860</v>
      </c>
      <c r="E319">
        <v>780</v>
      </c>
      <c r="F319">
        <v>699</v>
      </c>
      <c r="G319">
        <v>822</v>
      </c>
    </row>
    <row r="320" spans="1:8" x14ac:dyDescent="0.2">
      <c r="A320" t="s">
        <v>32</v>
      </c>
      <c r="B320">
        <v>839</v>
      </c>
      <c r="C320">
        <v>866</v>
      </c>
      <c r="D320">
        <v>869</v>
      </c>
      <c r="E320">
        <v>827</v>
      </c>
      <c r="F320">
        <v>868</v>
      </c>
      <c r="G320">
        <v>631</v>
      </c>
    </row>
    <row r="321" spans="1:8" x14ac:dyDescent="0.2">
      <c r="A321" t="s">
        <v>29</v>
      </c>
      <c r="B321">
        <v>853</v>
      </c>
      <c r="C321">
        <v>860</v>
      </c>
      <c r="D321">
        <v>853</v>
      </c>
      <c r="E321">
        <v>841</v>
      </c>
      <c r="F321">
        <v>868</v>
      </c>
      <c r="G321">
        <v>621</v>
      </c>
    </row>
    <row r="322" spans="1:8" x14ac:dyDescent="0.2">
      <c r="A322" t="s">
        <v>30</v>
      </c>
      <c r="B322">
        <v>870</v>
      </c>
      <c r="C322">
        <v>865</v>
      </c>
      <c r="D322">
        <v>854</v>
      </c>
      <c r="E322">
        <v>844</v>
      </c>
      <c r="F322">
        <v>842</v>
      </c>
      <c r="G322">
        <v>625</v>
      </c>
    </row>
    <row r="323" spans="1:8" x14ac:dyDescent="0.2">
      <c r="A323" t="s">
        <v>31</v>
      </c>
      <c r="B323">
        <v>859</v>
      </c>
      <c r="C323">
        <v>862</v>
      </c>
      <c r="D323">
        <v>850</v>
      </c>
      <c r="E323">
        <v>844</v>
      </c>
      <c r="F323">
        <v>725</v>
      </c>
      <c r="G323">
        <v>756</v>
      </c>
    </row>
    <row r="324" spans="1:8" x14ac:dyDescent="0.2">
      <c r="A324" t="s">
        <v>32</v>
      </c>
      <c r="B324">
        <v>866</v>
      </c>
      <c r="C324">
        <v>869</v>
      </c>
      <c r="D324">
        <v>868</v>
      </c>
      <c r="E324">
        <v>754</v>
      </c>
      <c r="F324">
        <v>864</v>
      </c>
      <c r="G324">
        <v>679</v>
      </c>
    </row>
    <row r="325" spans="1:8" x14ac:dyDescent="0.2">
      <c r="A325" t="s">
        <v>29</v>
      </c>
      <c r="B325">
        <v>837</v>
      </c>
      <c r="C325">
        <v>869</v>
      </c>
      <c r="D325">
        <v>839</v>
      </c>
      <c r="E325">
        <v>846</v>
      </c>
      <c r="F325">
        <v>846</v>
      </c>
      <c r="G325">
        <v>663</v>
      </c>
    </row>
    <row r="326" spans="1:8" x14ac:dyDescent="0.2">
      <c r="A326" t="s">
        <v>30</v>
      </c>
      <c r="B326">
        <v>870</v>
      </c>
      <c r="C326">
        <v>859</v>
      </c>
      <c r="D326">
        <v>868</v>
      </c>
      <c r="E326">
        <v>848</v>
      </c>
      <c r="F326">
        <v>864</v>
      </c>
      <c r="G326">
        <v>587</v>
      </c>
    </row>
    <row r="327" spans="1:8" x14ac:dyDescent="0.2">
      <c r="A327" t="s">
        <v>31</v>
      </c>
      <c r="B327">
        <v>859</v>
      </c>
      <c r="C327">
        <v>868</v>
      </c>
      <c r="D327">
        <v>852</v>
      </c>
      <c r="E327">
        <v>823</v>
      </c>
      <c r="F327">
        <v>662</v>
      </c>
      <c r="G327">
        <v>829</v>
      </c>
      <c r="H327">
        <v>3</v>
      </c>
    </row>
    <row r="328" spans="1:8" x14ac:dyDescent="0.2">
      <c r="A328" t="s">
        <v>32</v>
      </c>
      <c r="B328">
        <v>828</v>
      </c>
      <c r="C328">
        <v>841</v>
      </c>
      <c r="D328">
        <v>870</v>
      </c>
      <c r="E328">
        <v>850</v>
      </c>
      <c r="F328">
        <v>858</v>
      </c>
      <c r="G328">
        <v>653</v>
      </c>
    </row>
    <row r="329" spans="1:8" x14ac:dyDescent="0.2">
      <c r="A329" t="s">
        <v>29</v>
      </c>
      <c r="B329">
        <v>853</v>
      </c>
      <c r="C329">
        <v>856</v>
      </c>
      <c r="D329">
        <v>859</v>
      </c>
      <c r="E329">
        <v>831</v>
      </c>
      <c r="F329">
        <v>868</v>
      </c>
      <c r="G329">
        <v>629</v>
      </c>
    </row>
    <row r="330" spans="1:8" x14ac:dyDescent="0.2">
      <c r="A330" t="s">
        <v>30</v>
      </c>
      <c r="B330">
        <v>837</v>
      </c>
      <c r="C330">
        <v>858</v>
      </c>
      <c r="D330">
        <v>842</v>
      </c>
      <c r="E330">
        <v>834</v>
      </c>
      <c r="F330">
        <v>826</v>
      </c>
      <c r="G330">
        <v>703</v>
      </c>
    </row>
    <row r="331" spans="1:8" x14ac:dyDescent="0.2">
      <c r="A331" t="s">
        <v>31</v>
      </c>
      <c r="B331">
        <v>859</v>
      </c>
      <c r="C331">
        <v>838</v>
      </c>
      <c r="D331">
        <v>858</v>
      </c>
      <c r="E331">
        <v>824</v>
      </c>
      <c r="F331">
        <v>761</v>
      </c>
      <c r="G331">
        <v>760</v>
      </c>
    </row>
    <row r="332" spans="1:8" x14ac:dyDescent="0.2">
      <c r="A332" t="s">
        <v>32</v>
      </c>
      <c r="B332">
        <v>795</v>
      </c>
      <c r="C332">
        <v>866</v>
      </c>
      <c r="D332">
        <v>866</v>
      </c>
      <c r="E332">
        <v>828</v>
      </c>
      <c r="F332">
        <v>868</v>
      </c>
      <c r="G332">
        <v>673</v>
      </c>
    </row>
    <row r="333" spans="1:8" x14ac:dyDescent="0.2">
      <c r="A333" t="s">
        <v>29</v>
      </c>
      <c r="B333">
        <v>870</v>
      </c>
      <c r="C333">
        <v>851</v>
      </c>
      <c r="D333">
        <v>870</v>
      </c>
      <c r="E333">
        <v>850</v>
      </c>
      <c r="F333">
        <v>858</v>
      </c>
      <c r="G333">
        <v>597</v>
      </c>
    </row>
    <row r="334" spans="1:8" x14ac:dyDescent="0.2">
      <c r="A334" t="s">
        <v>30</v>
      </c>
      <c r="B334">
        <v>863</v>
      </c>
      <c r="C334">
        <v>869</v>
      </c>
      <c r="D334">
        <v>869</v>
      </c>
      <c r="E334">
        <v>796</v>
      </c>
      <c r="F334">
        <v>856</v>
      </c>
      <c r="G334">
        <v>647</v>
      </c>
    </row>
    <row r="335" spans="1:8" x14ac:dyDescent="0.2">
      <c r="A335" t="s">
        <v>31</v>
      </c>
      <c r="B335">
        <v>823</v>
      </c>
      <c r="C335">
        <v>790</v>
      </c>
      <c r="D335">
        <v>860</v>
      </c>
      <c r="E335">
        <v>838</v>
      </c>
      <c r="F335">
        <v>868</v>
      </c>
      <c r="G335">
        <v>721</v>
      </c>
    </row>
    <row r="336" spans="1:8" x14ac:dyDescent="0.2">
      <c r="A336" t="s">
        <v>32</v>
      </c>
      <c r="B336">
        <v>870</v>
      </c>
      <c r="C336">
        <v>867</v>
      </c>
      <c r="D336">
        <v>866</v>
      </c>
      <c r="E336">
        <v>850</v>
      </c>
      <c r="F336">
        <v>866</v>
      </c>
      <c r="G336">
        <v>577</v>
      </c>
    </row>
    <row r="337" spans="1:8" x14ac:dyDescent="0.2">
      <c r="A337" t="s">
        <v>29</v>
      </c>
      <c r="B337">
        <v>870</v>
      </c>
      <c r="C337">
        <v>847</v>
      </c>
      <c r="D337">
        <v>860</v>
      </c>
      <c r="E337">
        <v>842</v>
      </c>
      <c r="F337">
        <v>864</v>
      </c>
      <c r="G337">
        <v>613</v>
      </c>
    </row>
    <row r="338" spans="1:8" x14ac:dyDescent="0.2">
      <c r="A338" t="s">
        <v>30</v>
      </c>
      <c r="B338">
        <v>867</v>
      </c>
      <c r="C338">
        <v>864</v>
      </c>
      <c r="D338">
        <v>850</v>
      </c>
      <c r="E338">
        <v>818</v>
      </c>
      <c r="F338">
        <v>870</v>
      </c>
      <c r="G338">
        <v>627</v>
      </c>
    </row>
    <row r="339" spans="1:8" x14ac:dyDescent="0.2">
      <c r="A339" t="s">
        <v>31</v>
      </c>
      <c r="B339">
        <v>863</v>
      </c>
      <c r="C339">
        <v>868</v>
      </c>
      <c r="D339">
        <v>830</v>
      </c>
      <c r="E339">
        <v>830</v>
      </c>
      <c r="F339">
        <v>828</v>
      </c>
      <c r="G339">
        <v>681</v>
      </c>
    </row>
    <row r="340" spans="1:8" x14ac:dyDescent="0.2">
      <c r="A340" t="s">
        <v>32</v>
      </c>
      <c r="B340">
        <v>496</v>
      </c>
      <c r="C340">
        <v>821</v>
      </c>
      <c r="D340">
        <v>868</v>
      </c>
      <c r="E340">
        <v>864</v>
      </c>
      <c r="F340">
        <v>869</v>
      </c>
      <c r="G340">
        <v>829</v>
      </c>
      <c r="H340">
        <v>153</v>
      </c>
    </row>
    <row r="341" spans="1:8" x14ac:dyDescent="0.2">
      <c r="A341" t="s">
        <v>29</v>
      </c>
      <c r="B341">
        <v>841</v>
      </c>
      <c r="C341">
        <v>869</v>
      </c>
      <c r="D341">
        <v>870</v>
      </c>
      <c r="E341">
        <v>839</v>
      </c>
      <c r="F341">
        <v>870</v>
      </c>
      <c r="G341">
        <v>607</v>
      </c>
    </row>
    <row r="342" spans="1:8" x14ac:dyDescent="0.2">
      <c r="A342" t="s">
        <v>30</v>
      </c>
      <c r="B342">
        <v>855</v>
      </c>
      <c r="C342">
        <v>864</v>
      </c>
      <c r="D342">
        <v>868</v>
      </c>
      <c r="E342">
        <v>838</v>
      </c>
      <c r="F342">
        <v>864</v>
      </c>
      <c r="G342">
        <v>607</v>
      </c>
    </row>
    <row r="343" spans="1:8" x14ac:dyDescent="0.2">
      <c r="A343" t="s">
        <v>31</v>
      </c>
      <c r="B343">
        <v>863</v>
      </c>
      <c r="C343">
        <v>869</v>
      </c>
      <c r="D343">
        <v>853</v>
      </c>
      <c r="E343">
        <v>840</v>
      </c>
      <c r="F343">
        <v>655</v>
      </c>
      <c r="G343">
        <v>820</v>
      </c>
    </row>
    <row r="344" spans="1:8" x14ac:dyDescent="0.2">
      <c r="A344" t="s">
        <v>32</v>
      </c>
      <c r="B344">
        <v>870</v>
      </c>
      <c r="C344">
        <v>867</v>
      </c>
      <c r="D344">
        <v>866</v>
      </c>
      <c r="E344">
        <v>850</v>
      </c>
      <c r="F344">
        <v>225</v>
      </c>
      <c r="G344">
        <v>828</v>
      </c>
      <c r="H344">
        <v>394</v>
      </c>
    </row>
    <row r="345" spans="1:8" x14ac:dyDescent="0.2">
      <c r="A345" t="s">
        <v>29</v>
      </c>
      <c r="B345">
        <v>849</v>
      </c>
      <c r="C345">
        <v>852</v>
      </c>
      <c r="D345">
        <v>862</v>
      </c>
      <c r="E345">
        <v>836</v>
      </c>
      <c r="F345">
        <v>846</v>
      </c>
      <c r="G345">
        <v>651</v>
      </c>
    </row>
    <row r="346" spans="1:8" x14ac:dyDescent="0.2">
      <c r="A346" t="s">
        <v>30</v>
      </c>
      <c r="B346">
        <v>861</v>
      </c>
      <c r="C346">
        <v>866</v>
      </c>
      <c r="D346">
        <v>862</v>
      </c>
      <c r="E346">
        <v>834</v>
      </c>
      <c r="F346">
        <v>866</v>
      </c>
      <c r="G346">
        <v>611</v>
      </c>
    </row>
    <row r="347" spans="1:8" x14ac:dyDescent="0.2">
      <c r="A347" t="s">
        <v>31</v>
      </c>
      <c r="B347">
        <v>861</v>
      </c>
      <c r="C347">
        <v>868</v>
      </c>
      <c r="D347">
        <v>862</v>
      </c>
      <c r="E347">
        <v>768</v>
      </c>
      <c r="F347">
        <v>773</v>
      </c>
      <c r="G347">
        <v>768</v>
      </c>
    </row>
    <row r="348" spans="1:8" x14ac:dyDescent="0.2">
      <c r="A348" t="s">
        <v>32</v>
      </c>
      <c r="B348">
        <v>835</v>
      </c>
      <c r="C348">
        <v>866</v>
      </c>
      <c r="D348">
        <v>865</v>
      </c>
      <c r="E348">
        <v>847</v>
      </c>
      <c r="F348">
        <v>866</v>
      </c>
      <c r="G348">
        <v>617</v>
      </c>
    </row>
    <row r="349" spans="1:8" x14ac:dyDescent="0.2">
      <c r="A349" t="s">
        <v>29</v>
      </c>
      <c r="B349">
        <v>870</v>
      </c>
      <c r="C349">
        <v>867</v>
      </c>
      <c r="D349">
        <v>870</v>
      </c>
      <c r="E349">
        <v>842</v>
      </c>
      <c r="F349">
        <v>866</v>
      </c>
      <c r="G349">
        <v>585</v>
      </c>
    </row>
    <row r="350" spans="1:8" x14ac:dyDescent="0.2">
      <c r="A350" t="s">
        <v>30</v>
      </c>
      <c r="B350">
        <v>748</v>
      </c>
      <c r="C350">
        <v>819</v>
      </c>
      <c r="D350">
        <v>856</v>
      </c>
      <c r="E350">
        <v>842</v>
      </c>
      <c r="F350">
        <v>860</v>
      </c>
      <c r="G350">
        <v>771</v>
      </c>
    </row>
    <row r="351" spans="1:8" x14ac:dyDescent="0.2">
      <c r="A351" t="s">
        <v>31</v>
      </c>
      <c r="B351">
        <v>855</v>
      </c>
      <c r="C351">
        <v>869</v>
      </c>
      <c r="D351">
        <v>851</v>
      </c>
      <c r="E351">
        <v>830</v>
      </c>
      <c r="F351">
        <v>870</v>
      </c>
      <c r="G351">
        <v>625</v>
      </c>
    </row>
    <row r="352" spans="1:8" x14ac:dyDescent="0.2">
      <c r="A352" t="s">
        <v>32</v>
      </c>
      <c r="B352">
        <v>861</v>
      </c>
      <c r="C352">
        <v>869</v>
      </c>
      <c r="D352">
        <v>857</v>
      </c>
      <c r="E352">
        <v>842</v>
      </c>
      <c r="F352">
        <v>860</v>
      </c>
      <c r="G352">
        <v>607</v>
      </c>
    </row>
    <row r="353" spans="1:8" x14ac:dyDescent="0.2">
      <c r="A353" t="s">
        <v>29</v>
      </c>
      <c r="B353">
        <v>849</v>
      </c>
      <c r="C353">
        <v>854</v>
      </c>
      <c r="D353">
        <v>861</v>
      </c>
      <c r="E353">
        <v>845</v>
      </c>
      <c r="F353">
        <v>870</v>
      </c>
      <c r="G353">
        <v>617</v>
      </c>
    </row>
    <row r="354" spans="1:8" x14ac:dyDescent="0.2">
      <c r="A354" t="s">
        <v>30</v>
      </c>
      <c r="B354">
        <v>870</v>
      </c>
      <c r="C354">
        <v>851</v>
      </c>
      <c r="D354">
        <v>858</v>
      </c>
      <c r="E354">
        <v>844</v>
      </c>
      <c r="F354">
        <v>864</v>
      </c>
      <c r="G354">
        <v>613</v>
      </c>
    </row>
    <row r="355" spans="1:8" x14ac:dyDescent="0.2">
      <c r="A355" t="s">
        <v>31</v>
      </c>
      <c r="B355">
        <v>867</v>
      </c>
      <c r="C355">
        <v>864</v>
      </c>
      <c r="D355">
        <v>870</v>
      </c>
      <c r="E355">
        <v>818</v>
      </c>
      <c r="F355">
        <v>691</v>
      </c>
      <c r="G355">
        <v>790</v>
      </c>
    </row>
    <row r="356" spans="1:8" x14ac:dyDescent="0.2">
      <c r="A356" t="s">
        <v>32</v>
      </c>
      <c r="B356">
        <v>791</v>
      </c>
      <c r="C356">
        <v>788</v>
      </c>
      <c r="D356">
        <v>868</v>
      </c>
      <c r="E356">
        <v>846</v>
      </c>
      <c r="F356">
        <v>838</v>
      </c>
      <c r="G356">
        <v>765</v>
      </c>
    </row>
    <row r="357" spans="1:8" x14ac:dyDescent="0.2">
      <c r="A357" t="s">
        <v>29</v>
      </c>
      <c r="B357">
        <v>853</v>
      </c>
      <c r="C357">
        <v>864</v>
      </c>
      <c r="D357">
        <v>870</v>
      </c>
      <c r="E357">
        <v>850</v>
      </c>
      <c r="F357">
        <v>870</v>
      </c>
      <c r="G357">
        <v>593</v>
      </c>
    </row>
    <row r="358" spans="1:8" x14ac:dyDescent="0.2">
      <c r="A358" t="s">
        <v>30</v>
      </c>
      <c r="B358">
        <v>817</v>
      </c>
      <c r="C358">
        <v>800</v>
      </c>
      <c r="D358">
        <v>864</v>
      </c>
      <c r="E358">
        <v>850</v>
      </c>
      <c r="F358">
        <v>856</v>
      </c>
      <c r="G358">
        <v>709</v>
      </c>
    </row>
    <row r="359" spans="1:8" x14ac:dyDescent="0.2">
      <c r="A359" t="s">
        <v>31</v>
      </c>
      <c r="B359">
        <v>855</v>
      </c>
      <c r="C359">
        <v>862</v>
      </c>
      <c r="D359">
        <v>868</v>
      </c>
      <c r="E359">
        <v>850</v>
      </c>
      <c r="F359">
        <v>711</v>
      </c>
      <c r="G359">
        <v>754</v>
      </c>
    </row>
    <row r="360" spans="1:8" x14ac:dyDescent="0.2">
      <c r="A360" t="s">
        <v>32</v>
      </c>
      <c r="B360">
        <v>870</v>
      </c>
      <c r="C360">
        <v>863</v>
      </c>
      <c r="D360">
        <v>848</v>
      </c>
      <c r="E360">
        <v>848</v>
      </c>
      <c r="F360">
        <v>870</v>
      </c>
      <c r="G360">
        <v>597</v>
      </c>
    </row>
    <row r="361" spans="1:8" x14ac:dyDescent="0.2">
      <c r="A361" t="s">
        <v>29</v>
      </c>
      <c r="B361">
        <v>852</v>
      </c>
      <c r="C361">
        <v>865</v>
      </c>
      <c r="D361">
        <v>870</v>
      </c>
      <c r="E361">
        <v>848</v>
      </c>
      <c r="F361">
        <v>870</v>
      </c>
      <c r="G361">
        <v>595</v>
      </c>
    </row>
    <row r="362" spans="1:8" x14ac:dyDescent="0.2">
      <c r="A362" t="s">
        <v>30</v>
      </c>
      <c r="B362">
        <v>870</v>
      </c>
      <c r="C362">
        <v>865</v>
      </c>
      <c r="D362">
        <v>846</v>
      </c>
      <c r="E362">
        <v>846</v>
      </c>
      <c r="F362">
        <v>864</v>
      </c>
      <c r="G362">
        <v>609</v>
      </c>
    </row>
    <row r="363" spans="1:8" x14ac:dyDescent="0.2">
      <c r="A363" t="s">
        <v>31</v>
      </c>
      <c r="B363">
        <v>865</v>
      </c>
      <c r="C363">
        <v>856</v>
      </c>
      <c r="D363">
        <v>864</v>
      </c>
      <c r="E363">
        <v>815</v>
      </c>
      <c r="F363">
        <v>870</v>
      </c>
      <c r="G363">
        <v>626</v>
      </c>
    </row>
    <row r="364" spans="1:8" x14ac:dyDescent="0.2">
      <c r="A364" t="s">
        <v>32</v>
      </c>
      <c r="B364">
        <v>801</v>
      </c>
      <c r="C364">
        <v>858</v>
      </c>
      <c r="D364">
        <v>870</v>
      </c>
      <c r="E364">
        <v>850</v>
      </c>
      <c r="F364">
        <v>800</v>
      </c>
      <c r="G364">
        <v>717</v>
      </c>
    </row>
    <row r="365" spans="1:8" x14ac:dyDescent="0.2">
      <c r="A365" t="s">
        <v>29</v>
      </c>
      <c r="B365">
        <v>869</v>
      </c>
      <c r="C365">
        <v>868</v>
      </c>
      <c r="D365">
        <v>870</v>
      </c>
      <c r="E365">
        <v>842</v>
      </c>
      <c r="F365">
        <v>870</v>
      </c>
      <c r="G365">
        <v>577</v>
      </c>
    </row>
    <row r="366" spans="1:8" x14ac:dyDescent="0.2">
      <c r="A366" t="s">
        <v>30</v>
      </c>
      <c r="B366">
        <v>861</v>
      </c>
      <c r="C366">
        <v>866</v>
      </c>
      <c r="D366">
        <v>850</v>
      </c>
      <c r="E366">
        <v>844</v>
      </c>
      <c r="F366">
        <v>870</v>
      </c>
      <c r="G366">
        <v>605</v>
      </c>
    </row>
    <row r="367" spans="1:8" x14ac:dyDescent="0.2">
      <c r="A367" t="s">
        <v>31</v>
      </c>
      <c r="B367">
        <v>870</v>
      </c>
      <c r="C367">
        <v>863</v>
      </c>
      <c r="D367">
        <v>848</v>
      </c>
      <c r="E367">
        <v>850</v>
      </c>
      <c r="F367">
        <v>768</v>
      </c>
      <c r="G367">
        <v>701</v>
      </c>
    </row>
    <row r="368" spans="1:8" x14ac:dyDescent="0.2">
      <c r="A368" t="s">
        <v>32</v>
      </c>
      <c r="B368">
        <v>508</v>
      </c>
      <c r="C368">
        <v>823</v>
      </c>
      <c r="D368">
        <v>860</v>
      </c>
      <c r="E368">
        <v>866</v>
      </c>
      <c r="F368">
        <v>854</v>
      </c>
      <c r="G368">
        <v>826</v>
      </c>
      <c r="H368">
        <v>163</v>
      </c>
    </row>
    <row r="369" spans="1:8" x14ac:dyDescent="0.2">
      <c r="A369" t="s">
        <v>29</v>
      </c>
      <c r="B369">
        <v>631</v>
      </c>
      <c r="C369">
        <v>742</v>
      </c>
      <c r="D369">
        <v>870</v>
      </c>
      <c r="E369">
        <v>846</v>
      </c>
      <c r="F369">
        <v>848</v>
      </c>
      <c r="G369">
        <v>828</v>
      </c>
      <c r="H369">
        <v>135</v>
      </c>
    </row>
    <row r="370" spans="1:8" x14ac:dyDescent="0.2">
      <c r="A370" t="s">
        <v>30</v>
      </c>
      <c r="B370">
        <v>843</v>
      </c>
      <c r="C370">
        <v>856</v>
      </c>
      <c r="D370">
        <v>870</v>
      </c>
      <c r="E370">
        <v>836</v>
      </c>
      <c r="F370">
        <v>870</v>
      </c>
      <c r="G370">
        <v>621</v>
      </c>
    </row>
    <row r="371" spans="1:8" x14ac:dyDescent="0.2">
      <c r="A371" t="s">
        <v>31</v>
      </c>
      <c r="B371">
        <v>869</v>
      </c>
      <c r="C371">
        <v>864</v>
      </c>
      <c r="D371">
        <v>858</v>
      </c>
      <c r="E371">
        <v>436</v>
      </c>
      <c r="F371">
        <v>862</v>
      </c>
      <c r="G371">
        <v>829</v>
      </c>
      <c r="H371">
        <v>182</v>
      </c>
    </row>
    <row r="372" spans="1:8" x14ac:dyDescent="0.2">
      <c r="A372" t="s">
        <v>32</v>
      </c>
      <c r="B372">
        <v>869</v>
      </c>
      <c r="C372">
        <v>868</v>
      </c>
      <c r="D372">
        <v>848</v>
      </c>
      <c r="E372">
        <v>834</v>
      </c>
      <c r="F372">
        <v>852</v>
      </c>
      <c r="G372">
        <v>625</v>
      </c>
    </row>
    <row r="373" spans="1:8" x14ac:dyDescent="0.2">
      <c r="A373" t="s">
        <v>29</v>
      </c>
      <c r="B373">
        <v>853</v>
      </c>
      <c r="C373">
        <v>866</v>
      </c>
      <c r="D373">
        <v>870</v>
      </c>
      <c r="E373">
        <v>842</v>
      </c>
      <c r="F373">
        <v>860</v>
      </c>
      <c r="G373">
        <v>609</v>
      </c>
    </row>
    <row r="374" spans="1:8" x14ac:dyDescent="0.2">
      <c r="A374" t="s">
        <v>30</v>
      </c>
      <c r="B374">
        <v>849</v>
      </c>
      <c r="C374">
        <v>868</v>
      </c>
      <c r="D374">
        <v>858</v>
      </c>
      <c r="E374">
        <v>824</v>
      </c>
      <c r="F374">
        <v>858</v>
      </c>
      <c r="G374">
        <v>639</v>
      </c>
    </row>
    <row r="375" spans="1:8" x14ac:dyDescent="0.2">
      <c r="A375" t="s">
        <v>31</v>
      </c>
      <c r="B375">
        <v>863</v>
      </c>
      <c r="C375">
        <v>866</v>
      </c>
      <c r="D375">
        <v>864</v>
      </c>
      <c r="E375">
        <v>850</v>
      </c>
      <c r="F375">
        <v>681</v>
      </c>
      <c r="G375">
        <v>776</v>
      </c>
    </row>
    <row r="376" spans="1:8" x14ac:dyDescent="0.2">
      <c r="A376" t="s">
        <v>32</v>
      </c>
      <c r="B376">
        <v>488</v>
      </c>
      <c r="C376">
        <v>813</v>
      </c>
      <c r="D376">
        <v>868</v>
      </c>
      <c r="E376">
        <v>848</v>
      </c>
      <c r="F376">
        <v>869</v>
      </c>
      <c r="G376">
        <v>825</v>
      </c>
      <c r="H376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2023-03-03T23:10:23Z</dcterms:created>
  <dcterms:modified xsi:type="dcterms:W3CDTF">2023-03-03T23:17:08Z</dcterms:modified>
</cp:coreProperties>
</file>