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renzo/Library/CloudStorage/Dropbox/PhD - DRONE_SWARM/experiments/dubai-93-stats/"/>
    </mc:Choice>
  </mc:AlternateContent>
  <xr:revisionPtr revIDLastSave="0" documentId="13_ncr:1_{43C346C5-5036-2046-8CD5-20630C11CD5B}" xr6:coauthVersionLast="47" xr6:coauthVersionMax="47" xr10:uidLastSave="{00000000-0000-0000-0000-000000000000}"/>
  <bookViews>
    <workbookView xWindow="3420" yWindow="500" windowWidth="25380" windowHeight="15860" activeTab="1" xr2:uid="{9A24B755-682F-184D-A7E4-C70F4C19F313}"/>
  </bookViews>
  <sheets>
    <sheet name="solution" sheetId="1" r:id="rId1"/>
    <sheet name="executi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F6" i="3"/>
  <c r="F4" i="3"/>
  <c r="F3" i="3"/>
  <c r="F2" i="3"/>
  <c r="F7" i="3" l="1"/>
  <c r="D7" i="3"/>
  <c r="C7" i="3"/>
  <c r="B7" i="3"/>
  <c r="E7" i="3"/>
</calcChain>
</file>

<file path=xl/sharedStrings.xml><?xml version="1.0" encoding="utf-8"?>
<sst xmlns="http://schemas.openxmlformats.org/spreadsheetml/2006/main" count="32" uniqueCount="22">
  <si>
    <t>total_execution_time_seconds</t>
  </si>
  <si>
    <t>Cold Low Variance</t>
  </si>
  <si>
    <t>Optimal Stationary</t>
  </si>
  <si>
    <t>Cold High Variance</t>
  </si>
  <si>
    <t>darpFailures</t>
  </si>
  <si>
    <t>ppBssFailures</t>
  </si>
  <si>
    <t>ppUavFailures</t>
  </si>
  <si>
    <t>ppWeatherFailures</t>
  </si>
  <si>
    <t>Warm Low Variance</t>
  </si>
  <si>
    <t>Warm High Variance</t>
  </si>
  <si>
    <t>Weather forecasts</t>
  </si>
  <si>
    <t>DARP</t>
  </si>
  <si>
    <t>PP UAVs</t>
  </si>
  <si>
    <t>PP BSSs</t>
  </si>
  <si>
    <t>Number of BSSs used</t>
  </si>
  <si>
    <t>Cumulative energy used by UAVs</t>
  </si>
  <si>
    <t>Cumulative energy wasted by UAVs</t>
  </si>
  <si>
    <t>Cumulative number of batteries used by UAVs</t>
  </si>
  <si>
    <t>Mission time (seconds)</t>
  </si>
  <si>
    <t>BSSs mission time (seconds)</t>
  </si>
  <si>
    <t>Cumulative Swap Time (seconds)</t>
  </si>
  <si>
    <t>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</si>
</sst>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17">
    <dxf>
      <numFmt numFmtId="164" formatCode="0.000000"/>
    </dxf>
    <dxf>
      <numFmt numFmtId="164" formatCode="0.000000"/>
    </dxf>
    <dxf>
      <numFmt numFmtId="13" formatCode="0%"/>
    </dxf>
    <dxf>
      <numFmt numFmtId="164" formatCode="0.000000"/>
    </dxf>
    <dxf>
      <numFmt numFmtId="13" formatCode="0%"/>
    </dxf>
    <dxf>
      <numFmt numFmtId="164" formatCode="0.000000"/>
    </dxf>
    <dxf>
      <numFmt numFmtId="13" formatCode="0%"/>
    </dxf>
    <dxf>
      <numFmt numFmtId="164" formatCode="0.000000"/>
    </dxf>
    <dxf>
      <numFmt numFmtId="13" formatCode="0%"/>
    </dxf>
    <dxf>
      <numFmt numFmtId="164" formatCode="0.0000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92-F647-ACBB-D529BA4095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92-F647-ACBB-D529BA4095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92-F647-ACBB-D529BA4095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92-F647-ACBB-D529BA4095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execution!$B$1:$E$1</c:f>
              <c:strCache>
                <c:ptCount val="4"/>
                <c:pt idx="0">
                  <c:v>DARP</c:v>
                </c:pt>
                <c:pt idx="1">
                  <c:v>STC</c:v>
                </c:pt>
                <c:pt idx="2">
                  <c:v>PP UAVs</c:v>
                </c:pt>
                <c:pt idx="3">
                  <c:v>PP BSSs</c:v>
                </c:pt>
              </c:strCache>
            </c:strRef>
          </c:cat>
          <c:val>
            <c:numRef>
              <c:f>execution!$B$7:$E$7</c:f>
              <c:numCache>
                <c:formatCode>0%</c:formatCode>
                <c:ptCount val="4"/>
                <c:pt idx="0">
                  <c:v>0.45630809077459566</c:v>
                </c:pt>
                <c:pt idx="1">
                  <c:v>0.49312367121189155</c:v>
                </c:pt>
                <c:pt idx="2">
                  <c:v>1.5435924299795753E-2</c:v>
                </c:pt>
                <c:pt idx="3">
                  <c:v>3.513231371371691E-2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92-F647-ACBB-D529BA4095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203199</xdr:rowOff>
    </xdr:from>
    <xdr:to>
      <xdr:col>5</xdr:col>
      <xdr:colOff>1706880</xdr:colOff>
      <xdr:row>22</xdr:row>
      <xdr:rowOff>101599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17770E2-576E-A64C-A4A3-6F7774E22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8D23D7-26BA-F54F-8125-CC6E43FD0978}" name="Tabella1" displayName="Tabella1" ref="A1:L6" totalsRowShown="0">
  <autoFilter ref="A1:L6" xr:uid="{3F8D23D7-26BA-F54F-8125-CC6E43FD0978}"/>
  <tableColumns count="12">
    <tableColumn id="1" xr3:uid="{1051E198-E9E8-9241-9B19-5B147BCBED03}" name="Weather forecasts"/>
    <tableColumn id="2" xr3:uid="{188EF9DA-F442-3340-9F10-CAC79453DFA3}" name="Number of BSSs used" dataDxfId="16"/>
    <tableColumn id="3" xr3:uid="{9BD59724-39DE-FB4B-8A9E-55F092D30C90}" name="Cumulative energy used by UAVs" dataDxfId="15"/>
    <tableColumn id="4" xr3:uid="{781F06DF-26B9-C44B-8D66-29405BB4BBE6}" name="Cumulative energy wasted by UAVs" dataDxfId="14"/>
    <tableColumn id="5" xr3:uid="{30C0247C-8E64-CB4B-BD21-56F4E56150BA}" name="Cumulative number of batteries used by UAVs" dataDxfId="13"/>
    <tableColumn id="6" xr3:uid="{DB3A8B2B-0F7C-5949-AF43-42513FAD9DC2}" name="Mission time (seconds)" dataDxfId="12"/>
    <tableColumn id="7" xr3:uid="{03436029-2C07-FE40-A085-64AA141C98AF}" name="BSSs mission time (seconds)" dataDxfId="11"/>
    <tableColumn id="8" xr3:uid="{D824CFAF-348A-D94A-9953-45DDDEAF41DC}" name="Cumulative Swap Time (seconds)" dataDxfId="10"/>
    <tableColumn id="14" xr3:uid="{A21DEBA0-AE23-7A49-8C82-23595CD11F28}" name="darpFailures"/>
    <tableColumn id="15" xr3:uid="{6F1D3BA7-F95A-3B4F-9ECC-7F58322EDAEC}" name="ppBssFailures"/>
    <tableColumn id="16" xr3:uid="{67CA25DE-C89B-5B4D-BDB4-3CBCC80087B1}" name="ppUavFailures"/>
    <tableColumn id="17" xr3:uid="{DBB10240-DE46-904F-83E3-06A08033D109}" name="ppWeatherFailures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6822B7-3116-504F-8030-49B01208D1A3}" name="Tabella13" displayName="Tabella13" ref="A1:J7" totalsRowCount="1">
  <autoFilter ref="A1:J6" xr:uid="{3F8D23D7-26BA-F54F-8125-CC6E43FD0978}"/>
  <tableColumns count="10">
    <tableColumn id="1" xr3:uid="{F95DB3FB-ED96-F94F-9A67-1364320E4D59}" name="Weather forecasts"/>
    <tableColumn id="9" xr3:uid="{B4A91FCF-431C-CC48-83DA-04D348DB0C4C}" name="DARP" totalsRowFunction="custom" dataDxfId="9" totalsRowDxfId="8">
      <totalsRowFormula>AVERAGE(Tabella13[DARP])/Tabella13[[#Totals],[total_execution_time_seconds]]</totalsRowFormula>
    </tableColumn>
    <tableColumn id="10" xr3:uid="{49958568-150B-DB4D-90AD-8125F6CE78AB}" name="STC" totalsRowFunction="custom" dataDxfId="7" totalsRowDxfId="6">
      <totalsRowFormula>AVERAGE(Tabella13[STC])/Tabella13[[#Totals],[total_execution_time_seconds]]</totalsRowFormula>
    </tableColumn>
    <tableColumn id="11" xr3:uid="{2AA8EC7C-DAFA-9942-A1CC-9D844B589A56}" name="PP UAVs" totalsRowFunction="custom" dataDxfId="5" totalsRowDxfId="4">
      <totalsRowFormula>AVERAGE(Tabella13[PP UAVs])/Tabella13[[#Totals],[total_execution_time_seconds]]</totalsRowFormula>
    </tableColumn>
    <tableColumn id="12" xr3:uid="{D7862923-8A2E-9B40-A497-BCD691F5637C}" name="PP BSSs" totalsRowFunction="custom" dataDxfId="3" totalsRowDxfId="2">
      <totalsRowFormula>AVERAGE(Tabella13[PP BSSs])/Tabella13[[#Totals],[total_execution_time_seconds]]</totalsRowFormula>
    </tableColumn>
    <tableColumn id="13" xr3:uid="{0432AB20-35F6-5248-86A6-3E5ECD81EF00}" name="total_execution_time_seconds" totalsRowFunction="custom" dataDxfId="1" totalsRowDxfId="0">
      <calculatedColumnFormula>SUM(Tabella13[[#This Row],[DARP]:[PP BSSs]])</calculatedColumnFormula>
      <totalsRowFormula>AVERAGE(Tabella13[total_execution_time_seconds])</totalsRowFormula>
    </tableColumn>
    <tableColumn id="14" xr3:uid="{7A0E6C11-C517-8C4C-B643-1DCAD23D62DD}" name="darpFailures"/>
    <tableColumn id="15" xr3:uid="{39F7A73F-2372-D04B-8710-0D71D7347941}" name="ppBssFailures"/>
    <tableColumn id="16" xr3:uid="{CC841FB1-8BDA-9341-BB0A-671C087F586A}" name="ppUavFailures"/>
    <tableColumn id="17" xr3:uid="{E8DADA1A-58C1-3342-8009-C126AE9E1D4F}" name="ppWeatherFailur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AF7B-778B-174A-8B31-6229EB7BC1B1}">
  <dimension ref="A1:L6"/>
  <sheetViews>
    <sheetView zoomScale="86" workbookViewId="0">
      <selection sqref="A1:H6"/>
    </sheetView>
  </sheetViews>
  <sheetFormatPr baseColWidth="10" defaultRowHeight="16" x14ac:dyDescent="0.2"/>
  <cols>
    <col min="1" max="1" width="19" bestFit="1" customWidth="1"/>
    <col min="2" max="2" width="21.83203125" customWidth="1"/>
    <col min="3" max="3" width="31.33203125" customWidth="1"/>
    <col min="4" max="4" width="33.5" customWidth="1"/>
    <col min="5" max="5" width="43.1640625" customWidth="1"/>
    <col min="6" max="6" width="22.1640625" customWidth="1"/>
    <col min="7" max="7" width="26.6640625" customWidth="1"/>
    <col min="8" max="8" width="31.5" bestFit="1" customWidth="1"/>
    <col min="9" max="9" width="13.83203125" bestFit="1" customWidth="1"/>
    <col min="10" max="10" width="15" bestFit="1" customWidth="1"/>
    <col min="11" max="11" width="15.5" bestFit="1" customWidth="1"/>
    <col min="12" max="12" width="19.5" bestFit="1" customWidth="1"/>
  </cols>
  <sheetData>
    <row r="1" spans="1:12" x14ac:dyDescent="0.2">
      <c r="A1" t="s">
        <v>10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4</v>
      </c>
      <c r="J1" t="s">
        <v>5</v>
      </c>
      <c r="K1" t="s">
        <v>6</v>
      </c>
      <c r="L1" t="s">
        <v>7</v>
      </c>
    </row>
    <row r="2" spans="1:12" x14ac:dyDescent="0.2">
      <c r="A2" t="s">
        <v>2</v>
      </c>
      <c r="B2" s="3">
        <v>3.89</v>
      </c>
      <c r="C2" s="3">
        <v>19973.09</v>
      </c>
      <c r="D2" s="3">
        <v>381.09</v>
      </c>
      <c r="E2" s="3">
        <v>20</v>
      </c>
      <c r="F2" s="3">
        <v>5620</v>
      </c>
      <c r="G2" s="3">
        <v>453.68</v>
      </c>
      <c r="H2" s="3">
        <v>2880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1</v>
      </c>
      <c r="B3" s="3">
        <v>3.83</v>
      </c>
      <c r="C3" s="3">
        <v>20164.5</v>
      </c>
      <c r="D3" s="3">
        <v>572.5</v>
      </c>
      <c r="E3" s="3">
        <v>20.149999999999999</v>
      </c>
      <c r="F3" s="3">
        <v>5646.64</v>
      </c>
      <c r="G3" s="3">
        <v>432.92</v>
      </c>
      <c r="H3" s="3">
        <v>2907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3</v>
      </c>
      <c r="B4" s="3">
        <v>3.82</v>
      </c>
      <c r="C4" s="3">
        <v>20903.330000000002</v>
      </c>
      <c r="D4" s="3">
        <v>1311.33</v>
      </c>
      <c r="E4" s="3">
        <v>20.14</v>
      </c>
      <c r="F4" s="3">
        <v>5644.84</v>
      </c>
      <c r="G4" s="3">
        <v>460.29</v>
      </c>
      <c r="H4" s="3">
        <v>2905.2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8</v>
      </c>
      <c r="B5" s="3">
        <v>3.8297872340425534</v>
      </c>
      <c r="C5" s="3">
        <v>20161.936170212764</v>
      </c>
      <c r="D5" s="3">
        <v>569.936170212766</v>
      </c>
      <c r="E5" s="3">
        <v>24.393617021276597</v>
      </c>
      <c r="F5" s="3">
        <v>5864.7659574468089</v>
      </c>
      <c r="G5" s="3">
        <v>561.82978723404256</v>
      </c>
      <c r="H5" s="3">
        <v>3670.8510638297871</v>
      </c>
      <c r="I5">
        <v>0</v>
      </c>
      <c r="J5">
        <v>0</v>
      </c>
      <c r="K5">
        <v>4</v>
      </c>
      <c r="L5">
        <v>2</v>
      </c>
    </row>
    <row r="6" spans="1:12" x14ac:dyDescent="0.2">
      <c r="A6" t="s">
        <v>9</v>
      </c>
      <c r="B6" s="3">
        <v>3.79</v>
      </c>
      <c r="C6" s="3">
        <v>23884.81</v>
      </c>
      <c r="D6" s="3">
        <v>4292.8100000000004</v>
      </c>
      <c r="E6" s="3">
        <v>24</v>
      </c>
      <c r="F6" s="3">
        <v>5800</v>
      </c>
      <c r="G6" s="3">
        <v>616.74</v>
      </c>
      <c r="H6" s="3">
        <v>3600</v>
      </c>
      <c r="I6">
        <v>0</v>
      </c>
      <c r="J6">
        <v>0</v>
      </c>
      <c r="K6">
        <v>0</v>
      </c>
      <c r="L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EE32-DC50-4D41-AAF2-1407182E51B6}">
  <dimension ref="A1:J7"/>
  <sheetViews>
    <sheetView tabSelected="1" zoomScale="125" workbookViewId="0">
      <selection activeCell="F26" sqref="F26"/>
    </sheetView>
  </sheetViews>
  <sheetFormatPr baseColWidth="10" defaultRowHeight="16" x14ac:dyDescent="0.2"/>
  <cols>
    <col min="1" max="1" width="19" bestFit="1" customWidth="1"/>
    <col min="2" max="3" width="8.83203125" bestFit="1" customWidth="1"/>
    <col min="4" max="4" width="9.83203125" bestFit="1" customWidth="1"/>
    <col min="5" max="5" width="10.1640625" bestFit="1" customWidth="1"/>
    <col min="6" max="6" width="28.5" customWidth="1"/>
    <col min="7" max="7" width="13.83203125" bestFit="1" customWidth="1"/>
    <col min="8" max="8" width="15" bestFit="1" customWidth="1"/>
    <col min="9" max="9" width="15.5" bestFit="1" customWidth="1"/>
    <col min="10" max="10" width="19.5" bestFit="1" customWidth="1"/>
  </cols>
  <sheetData>
    <row r="1" spans="1:10" x14ac:dyDescent="0.2">
      <c r="A1" t="s">
        <v>10</v>
      </c>
      <c r="B1" t="s">
        <v>11</v>
      </c>
      <c r="C1" t="s">
        <v>21</v>
      </c>
      <c r="D1" t="s">
        <v>12</v>
      </c>
      <c r="E1" t="s">
        <v>13</v>
      </c>
      <c r="F1" t="s">
        <v>0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2</v>
      </c>
      <c r="B2" s="2">
        <v>1.0179603000000004</v>
      </c>
      <c r="C2" s="2">
        <v>1.08581533</v>
      </c>
      <c r="D2" s="2">
        <v>1.0905479999999997E-2</v>
      </c>
      <c r="E2" s="2">
        <v>8.3682360000000025E-2</v>
      </c>
      <c r="F2" s="2">
        <f>SUM(Tabella13[[#This Row],[DARP]:[PP BSSs]])</f>
        <v>2.1983634700000003</v>
      </c>
      <c r="G2">
        <v>0</v>
      </c>
      <c r="H2">
        <v>0</v>
      </c>
      <c r="I2">
        <v>0</v>
      </c>
      <c r="J2">
        <v>0</v>
      </c>
    </row>
    <row r="3" spans="1:10" x14ac:dyDescent="0.2">
      <c r="A3" t="s">
        <v>1</v>
      </c>
      <c r="B3" s="2">
        <v>1.0408252800000002</v>
      </c>
      <c r="C3" s="2">
        <v>1.0957453899999998</v>
      </c>
      <c r="D3" s="2">
        <v>3.2742379999999988E-2</v>
      </c>
      <c r="E3" s="2">
        <v>6.6138009999999983E-2</v>
      </c>
      <c r="F3" s="2">
        <f>SUM(Tabella13[[#This Row],[DARP]:[PP BSSs]])</f>
        <v>2.2354510600000004</v>
      </c>
      <c r="G3">
        <v>0</v>
      </c>
      <c r="H3">
        <v>0</v>
      </c>
      <c r="I3">
        <v>0</v>
      </c>
      <c r="J3">
        <v>0</v>
      </c>
    </row>
    <row r="4" spans="1:10" x14ac:dyDescent="0.2">
      <c r="A4" t="s">
        <v>3</v>
      </c>
      <c r="B4" s="2">
        <v>1.12809841</v>
      </c>
      <c r="C4" s="2">
        <v>1.1082911099999992</v>
      </c>
      <c r="D4" s="2">
        <v>4.601253000000001E-2</v>
      </c>
      <c r="E4" s="2">
        <v>5.366785000000001E-2</v>
      </c>
      <c r="F4" s="2">
        <f>SUM(Tabella13[[#This Row],[DARP]:[PP BSSs]])</f>
        <v>2.3360698999999996</v>
      </c>
      <c r="G4">
        <v>0</v>
      </c>
      <c r="H4">
        <v>0</v>
      </c>
      <c r="I4">
        <v>0</v>
      </c>
      <c r="J4">
        <v>0</v>
      </c>
    </row>
    <row r="5" spans="1:10" x14ac:dyDescent="0.2">
      <c r="A5" t="s">
        <v>8</v>
      </c>
      <c r="B5" s="2">
        <v>0.93089501063829838</v>
      </c>
      <c r="C5" s="2">
        <v>1.0794628617021274</v>
      </c>
      <c r="D5" s="2">
        <v>4.068070212765957E-2</v>
      </c>
      <c r="E5" s="2">
        <v>9.5988595744680869E-2</v>
      </c>
      <c r="F5" s="2">
        <f>SUM(Tabella13[[#This Row],[DARP]:[PP BSSs]])</f>
        <v>2.1470271702127661</v>
      </c>
      <c r="G5">
        <v>0</v>
      </c>
      <c r="H5">
        <v>0</v>
      </c>
      <c r="I5">
        <v>4</v>
      </c>
      <c r="J5">
        <v>2</v>
      </c>
    </row>
    <row r="6" spans="1:10" x14ac:dyDescent="0.2">
      <c r="A6" t="s">
        <v>9</v>
      </c>
      <c r="B6" s="2">
        <v>0.94961406999999998</v>
      </c>
      <c r="C6" s="2">
        <v>1.1069228000000002</v>
      </c>
      <c r="D6" s="2">
        <v>4.1077950000000009E-2</v>
      </c>
      <c r="E6" s="2">
        <v>9.0674590000000013E-2</v>
      </c>
      <c r="F6" s="2">
        <f>SUM(Tabella13[[#This Row],[DARP]:[PP BSSs]])</f>
        <v>2.1882894100000003</v>
      </c>
      <c r="G6">
        <v>0</v>
      </c>
      <c r="H6">
        <v>0</v>
      </c>
      <c r="I6">
        <v>0</v>
      </c>
      <c r="J6">
        <v>0</v>
      </c>
    </row>
    <row r="7" spans="1:10" x14ac:dyDescent="0.2">
      <c r="B7" s="1">
        <f>AVERAGE(Tabella13[DARP])/Tabella13[[#Totals],[total_execution_time_seconds]]</f>
        <v>0.45630809077459566</v>
      </c>
      <c r="C7" s="1">
        <f>AVERAGE(Tabella13[STC])/Tabella13[[#Totals],[total_execution_time_seconds]]</f>
        <v>0.49312367121189155</v>
      </c>
      <c r="D7" s="1">
        <f>AVERAGE(Tabella13[PP UAVs])/Tabella13[[#Totals],[total_execution_time_seconds]]</f>
        <v>1.5435924299795753E-2</v>
      </c>
      <c r="E7" s="1">
        <f>AVERAGE(Tabella13[PP BSSs])/Tabella13[[#Totals],[total_execution_time_seconds]]</f>
        <v>3.513231371371691E-2</v>
      </c>
      <c r="F7" s="2">
        <f>AVERAGE(Tabella13[total_execution_time_seconds])</f>
        <v>2.2210402020425533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solution</vt:lpstr>
      <vt:lpstr>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2023-03-03T21:45:55Z</dcterms:created>
  <dcterms:modified xsi:type="dcterms:W3CDTF">2023-04-18T22:34:15Z</dcterms:modified>
</cp:coreProperties>
</file>