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codeName="Questa_cartella_di_lavoro" defaultThemeVersion="166925"/>
  <mc:AlternateContent xmlns:mc="http://schemas.openxmlformats.org/markup-compatibility/2006">
    <mc:Choice Requires="x15">
      <x15ac:absPath xmlns:x15ac="http://schemas.microsoft.com/office/spreadsheetml/2010/11/ac" url="/Users/lorenzo/Library/CloudStorage/Dropbox/PhD - DRONE_SWARM/experiments/"/>
    </mc:Choice>
  </mc:AlternateContent>
  <xr:revisionPtr revIDLastSave="0" documentId="13_ncr:1_{3D9EC856-D33A-8C45-80E9-05E193C2DA97}" xr6:coauthVersionLast="47" xr6:coauthVersionMax="47" xr10:uidLastSave="{00000000-0000-0000-0000-000000000000}"/>
  <bookViews>
    <workbookView xWindow="0" yWindow="500" windowWidth="28800" windowHeight="15860" xr2:uid="{CD5F51BB-C88C-7E45-A87A-19EF61342AB4}"/>
  </bookViews>
  <sheets>
    <sheet name="no_swap" sheetId="1" r:id="rId1"/>
    <sheet name="with_swap-22%bsp-1depot" sheetId="2" r:id="rId2"/>
    <sheet name="with_swap-33%bsp-1depot" sheetId="4" r:id="rId3"/>
    <sheet name="with_swap-100%bsp-1depot" sheetId="3" r:id="rId4"/>
    <sheet name="with_swap-summar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O3" i="5"/>
  <c r="O4" i="5"/>
  <c r="O5" i="5"/>
  <c r="N3" i="5"/>
  <c r="N4" i="5"/>
  <c r="N5" i="5"/>
  <c r="L3" i="5"/>
  <c r="L4" i="5"/>
  <c r="L5" i="5"/>
  <c r="M3" i="5"/>
  <c r="M4" i="5"/>
  <c r="M5" i="5"/>
  <c r="R4" i="5"/>
  <c r="R5" i="5"/>
  <c r="R3" i="5"/>
  <c r="H3" i="1"/>
  <c r="H4" i="1"/>
  <c r="H5" i="1"/>
  <c r="H6" i="1"/>
  <c r="J3" i="1"/>
  <c r="J4" i="1"/>
  <c r="J5" i="1"/>
  <c r="J6" i="1"/>
  <c r="H5" i="5"/>
  <c r="I5" i="5"/>
  <c r="P5" i="5" s="1"/>
  <c r="J5" i="5"/>
  <c r="K5" i="5"/>
  <c r="G5" i="5"/>
  <c r="C5" i="5"/>
  <c r="D5" i="5"/>
  <c r="E5" i="5"/>
  <c r="F5" i="5"/>
  <c r="H4" i="5"/>
  <c r="I4" i="5"/>
  <c r="P4" i="5" s="1"/>
  <c r="J4" i="5"/>
  <c r="K4" i="5"/>
  <c r="G3" i="5"/>
  <c r="G4" i="5"/>
  <c r="C4" i="5"/>
  <c r="D4" i="5"/>
  <c r="E4" i="5"/>
  <c r="F4" i="5"/>
  <c r="H3" i="5"/>
  <c r="I3" i="5"/>
  <c r="J3" i="5"/>
  <c r="K3" i="5"/>
  <c r="C3" i="5"/>
  <c r="D3" i="5"/>
  <c r="E3" i="5"/>
  <c r="F3" i="5"/>
  <c r="B5" i="5"/>
  <c r="B3" i="5"/>
  <c r="B4" i="5"/>
  <c r="K3" i="4"/>
  <c r="K4" i="4"/>
  <c r="K5" i="4"/>
  <c r="K6" i="4"/>
  <c r="K7" i="4"/>
  <c r="K8" i="4"/>
  <c r="K9" i="4"/>
  <c r="D3" i="4"/>
  <c r="D4" i="4"/>
  <c r="D5" i="4"/>
  <c r="D6" i="4"/>
  <c r="D7" i="4"/>
  <c r="D8" i="4"/>
  <c r="D9" i="4"/>
  <c r="M11" i="4"/>
  <c r="L11" i="4"/>
  <c r="J11" i="4"/>
  <c r="I11" i="4"/>
  <c r="F11" i="4"/>
  <c r="E11" i="4"/>
  <c r="C11" i="4"/>
  <c r="B11" i="4"/>
  <c r="D3" i="3"/>
  <c r="D4" i="3"/>
  <c r="D5" i="3"/>
  <c r="K3" i="3"/>
  <c r="K4" i="3"/>
  <c r="K5" i="3"/>
  <c r="M7" i="3"/>
  <c r="L7" i="3"/>
  <c r="J7" i="3"/>
  <c r="I7" i="3"/>
  <c r="F7" i="3"/>
  <c r="E7" i="3"/>
  <c r="C7" i="3"/>
  <c r="B7" i="3"/>
  <c r="M13" i="2"/>
  <c r="L13" i="2"/>
  <c r="J13" i="2"/>
  <c r="I13" i="2"/>
  <c r="E13" i="2"/>
  <c r="F13" i="2"/>
  <c r="C13" i="2"/>
  <c r="B13" i="2"/>
  <c r="D9" i="2"/>
  <c r="D10" i="2"/>
  <c r="K9" i="2"/>
  <c r="K10" i="2"/>
  <c r="D4" i="2"/>
  <c r="D5" i="2"/>
  <c r="D6" i="2"/>
  <c r="D7" i="2"/>
  <c r="D8" i="2"/>
  <c r="K4" i="2"/>
  <c r="K5" i="2"/>
  <c r="K6" i="2"/>
  <c r="K7" i="2"/>
  <c r="K8" i="2"/>
  <c r="D3" i="2"/>
  <c r="D13" i="2" s="1"/>
  <c r="K3" i="2"/>
  <c r="K13" i="2" s="1"/>
  <c r="K11" i="2"/>
  <c r="D11" i="2"/>
  <c r="P3" i="5" l="1"/>
  <c r="K11" i="4"/>
  <c r="D11" i="4"/>
  <c r="D7" i="3"/>
  <c r="K7" i="3"/>
</calcChain>
</file>

<file path=xl/sharedStrings.xml><?xml version="1.0" encoding="utf-8"?>
<sst xmlns="http://schemas.openxmlformats.org/spreadsheetml/2006/main" count="130" uniqueCount="60">
  <si>
    <t>Depositi</t>
  </si>
  <si>
    <t>Cumulative energy</t>
  </si>
  <si>
    <t>Misson time OPT</t>
  </si>
  <si>
    <t>Cumulative energy OPT</t>
  </si>
  <si>
    <t>Execution Time OPT</t>
  </si>
  <si>
    <t>Misson time H</t>
  </si>
  <si>
    <t>Cumulative energy H</t>
  </si>
  <si>
    <t>Execution Time H</t>
  </si>
  <si>
    <t>Execution time</t>
  </si>
  <si>
    <t>Mission time</t>
  </si>
  <si>
    <t>Heuristic</t>
  </si>
  <si>
    <t>Optimal</t>
  </si>
  <si>
    <t>22% ROADS</t>
  </si>
  <si>
    <t>scenario</t>
  </si>
  <si>
    <t xml:space="preserve">O BSS used </t>
  </si>
  <si>
    <t>H BSS Used</t>
  </si>
  <si>
    <t>O Batteries used</t>
  </si>
  <si>
    <t>H Batteries used</t>
  </si>
  <si>
    <t>UAV solver time</t>
  </si>
  <si>
    <t>BSS solver time</t>
  </si>
  <si>
    <t>DARP time</t>
  </si>
  <si>
    <t>STC time</t>
  </si>
  <si>
    <t>PP UAV time</t>
  </si>
  <si>
    <t>PP BSS time</t>
  </si>
  <si>
    <t>testset2-d1-bsp22-rand9</t>
  </si>
  <si>
    <t>testset2-d1-bsp22-rand1</t>
  </si>
  <si>
    <t>testset2-d1-bsp22-rand2</t>
  </si>
  <si>
    <t>testset2-d1-bsp22-rand3</t>
  </si>
  <si>
    <t>testset2-d1-bsp22-rand4</t>
  </si>
  <si>
    <t>testset2-d1-bsp22-rand5</t>
  </si>
  <si>
    <t>testset2-d1-bsp22-rand6</t>
  </si>
  <si>
    <t>testset2-d1-bsp22-rand7</t>
  </si>
  <si>
    <t>testset2-d1-bsp22-rand8</t>
  </si>
  <si>
    <t>testset2-d1-bsp100-rand1</t>
  </si>
  <si>
    <t>testset2-d1-bsp100-rand2</t>
  </si>
  <si>
    <t>testset2-d1-bsp100-rand3</t>
  </si>
  <si>
    <t>100% ROADS</t>
  </si>
  <si>
    <t>testset2-d1-bsp33-rand1</t>
  </si>
  <si>
    <t>testset2-d1-bsp33-rand2</t>
  </si>
  <si>
    <t>testset2-d1-bsp33-rand3</t>
  </si>
  <si>
    <t>testset2-d1-bsp33-rand4</t>
  </si>
  <si>
    <t>testset2-d1-bsp33-rand5</t>
  </si>
  <si>
    <t>testset2-d1-bsp33-rand6</t>
  </si>
  <si>
    <t>testset2-d1-bsp33-rand7</t>
  </si>
  <si>
    <t>33% ROADS</t>
  </si>
  <si>
    <t>SUMMARY</t>
  </si>
  <si>
    <t>Difference</t>
  </si>
  <si>
    <t>Test set #1</t>
  </si>
  <si>
    <t>Test set #2</t>
  </si>
  <si>
    <t>Test set #3</t>
  </si>
  <si>
    <t>Execution Time</t>
  </si>
  <si>
    <t>Run with 1 depot</t>
  </si>
  <si>
    <t>Run with 2 depots</t>
  </si>
  <si>
    <t>Run with 3 depots</t>
  </si>
  <si>
    <t>Run with 4 depots</t>
  </si>
  <si>
    <t>Optimal methods</t>
  </si>
  <si>
    <t>Heuristic methods</t>
  </si>
  <si>
    <t>No. of BSSes used</t>
  </si>
  <si>
    <t>Cumulative energy used by UAVs</t>
  </si>
  <si>
    <t>No. of battery used by UAVs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</si>
</sst>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0"/>
    <numFmt numFmtId="165" formatCode="0.0000"/>
    <numFmt numFmtId="166" formatCode="0.000"/>
    <numFmt numFmtId="167" formatCode="0.0"/>
    <numFmt numFmtId="168" formatCode="0.0%"/>
  </numFmts>
  <fonts count="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rgb="FF595959"/>
      <name val="Times New Roman"/>
      <family val="1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31">
    <xf numFmtId="0" fontId="0" fillId="0" borderId="0" xfId="0"/>
    <xf numFmtId="165" fontId="0" fillId="0" borderId="0" xfId="0" applyNumberFormat="1"/>
    <xf numFmtId="0" fontId="2" fillId="0" borderId="0" xfId="0" applyFont="1" applyAlignment="1">
      <alignment horizontal="center" vertical="center" readingOrder="1"/>
    </xf>
    <xf numFmtId="0" fontId="2" fillId="0" borderId="0" xfId="0" applyFont="1" applyAlignment="1">
      <alignment horizontal="left" vertical="center" readingOrder="1"/>
    </xf>
    <xf numFmtId="0" fontId="1" fillId="0" borderId="0" xfId="0" applyFont="1"/>
    <xf numFmtId="0" fontId="0" fillId="2" borderId="0" xfId="0" applyFill="1" applyAlignment="1">
      <alignment horizontal="center" vertical="center"/>
    </xf>
    <xf numFmtId="0" fontId="3" fillId="0" borderId="0" xfId="0" applyFont="1"/>
    <xf numFmtId="165" fontId="3" fillId="0" borderId="0" xfId="0" applyNumberFormat="1" applyFont="1"/>
    <xf numFmtId="166" fontId="3" fillId="0" borderId="0" xfId="0" applyNumberFormat="1" applyFont="1"/>
    <xf numFmtId="1" fontId="3" fillId="0" borderId="0" xfId="0" applyNumberFormat="1" applyFont="1"/>
    <xf numFmtId="164" fontId="3" fillId="0" borderId="0" xfId="0" applyNumberFormat="1" applyFont="1"/>
    <xf numFmtId="164" fontId="1" fillId="0" borderId="0" xfId="0" applyNumberFormat="1" applyFont="1"/>
    <xf numFmtId="167" fontId="1" fillId="0" borderId="0" xfId="0" applyNumberFormat="1" applyFont="1"/>
    <xf numFmtId="0" fontId="6" fillId="0" borderId="0" xfId="0" applyFont="1"/>
    <xf numFmtId="0" fontId="7" fillId="4" borderId="0" xfId="0" applyFont="1" applyFill="1" applyAlignment="1">
      <alignment horizontal="center" vertical="center"/>
    </xf>
    <xf numFmtId="0" fontId="8" fillId="6" borderId="2" xfId="0" applyFont="1" applyFill="1" applyBorder="1"/>
    <xf numFmtId="0" fontId="3" fillId="0" borderId="1" xfId="0" applyFont="1" applyBorder="1"/>
    <xf numFmtId="0" fontId="8" fillId="6" borderId="0" xfId="0" applyFont="1" applyFill="1"/>
    <xf numFmtId="10" fontId="3" fillId="0" borderId="0" xfId="1" applyNumberFormat="1" applyFont="1" applyBorder="1"/>
    <xf numFmtId="9" fontId="0" fillId="0" borderId="0" xfId="1" applyFont="1"/>
    <xf numFmtId="10" fontId="3" fillId="0" borderId="1" xfId="0" applyNumberFormat="1" applyFont="1" applyBorder="1"/>
    <xf numFmtId="168" fontId="3" fillId="0" borderId="0" xfId="1" applyNumberFormat="1" applyFont="1" applyBorder="1"/>
    <xf numFmtId="168" fontId="3" fillId="0" borderId="1" xfId="1" applyNumberFormat="1" applyFont="1" applyBorder="1"/>
    <xf numFmtId="168" fontId="3" fillId="0" borderId="1" xfId="0" applyNumberFormat="1" applyFont="1" applyBorder="1"/>
    <xf numFmtId="0" fontId="0" fillId="7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168" fontId="0" fillId="0" borderId="0" xfId="1" applyNumberFormat="1" applyFont="1"/>
  </cellXfs>
  <cellStyles count="2">
    <cellStyle name="Normale" xfId="0" builtinId="0"/>
    <cellStyle name="Percentuale" xfId="1" builtinId="5"/>
  </cellStyles>
  <dxfs count="79">
    <dxf>
      <numFmt numFmtId="168" formatCode="0.0%"/>
    </dxf>
    <dxf>
      <numFmt numFmtId="13" formatCode="0%"/>
    </dxf>
    <dxf>
      <numFmt numFmtId="168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4" formatCode="0.00%"/>
      <border diagonalUp="0" diagonalDown="0" outline="0">
        <left/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8" formatCode="0.0%"/>
      <border diagonalUp="0" diagonalDown="0" outline="0">
        <left/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8" formatCode="0.0%"/>
      <border diagonalUp="0" diagonalDown="0" outline="0">
        <left/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8" formatCode="0.0%"/>
      <border diagonalUp="0" diagonalDown="0" outline="0">
        <left/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8" formatCode="0.0%"/>
      <border diagonalUp="0" diagonalDown="0" outline="0">
        <left/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border diagonalUp="0" diagonalDown="0" outline="0">
        <left/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" formatCode="0"/>
      <border diagonalUp="0" diagonalDown="0">
        <left/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0.000000"/>
      <border diagonalUp="0" diagonalDown="0">
        <left/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border diagonalUp="0" diagonalDown="0">
        <left/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border diagonalUp="0" diagonalDown="0">
        <left/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border diagonalUp="0" diagonalDown="0">
        <left/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border diagonalUp="0" diagonalDown="0">
        <left/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0.0000"/>
      <border diagonalUp="0" diagonalDown="0">
        <left/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border diagonalUp="0" diagonalDown="0">
        <left/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border diagonalUp="0" diagonalDown="0">
        <left/>
        <right/>
        <top style="thin">
          <color rgb="FF000000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scheme val="minor"/>
      </font>
      <fill>
        <patternFill patternType="solid">
          <fgColor rgb="FF000000"/>
          <bgColor rgb="FF000000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0.000000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0.000000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0.000000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0.000000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0.00000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6" formatCode="0.0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6" formatCode="0.0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0.000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rgb="FF000000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0.000000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0.000000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0.000000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0.000000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0.00000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6" formatCode="0.0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6" formatCode="0.0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0.000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rgb="FF000000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0.000000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0.000000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0.000000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0.000000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0.00000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6" formatCode="0.0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6" formatCode="0.0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0.000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no_swap!$B$1</c:f>
              <c:strCache>
                <c:ptCount val="1"/>
                <c:pt idx="0">
                  <c:v>Optimal methods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no_swap!$A$3:$A$6</c:f>
              <c:strCache>
                <c:ptCount val="4"/>
                <c:pt idx="0">
                  <c:v>Run with 1 depot</c:v>
                </c:pt>
                <c:pt idx="1">
                  <c:v>Run with 2 depots</c:v>
                </c:pt>
                <c:pt idx="2">
                  <c:v>Run with 3 depots</c:v>
                </c:pt>
                <c:pt idx="3">
                  <c:v>Run with 4 depots</c:v>
                </c:pt>
              </c:strCache>
            </c:strRef>
          </c:xVal>
          <c:yVal>
            <c:numRef>
              <c:f>no_swap!$B$3:$B$6</c:f>
              <c:numCache>
                <c:formatCode>General</c:formatCode>
                <c:ptCount val="4"/>
                <c:pt idx="0">
                  <c:v>36</c:v>
                </c:pt>
                <c:pt idx="1">
                  <c:v>18</c:v>
                </c:pt>
                <c:pt idx="2">
                  <c:v>12</c:v>
                </c:pt>
                <c:pt idx="3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10-A74F-B635-61B6A876A961}"/>
            </c:ext>
          </c:extLst>
        </c:ser>
        <c:ser>
          <c:idx val="1"/>
          <c:order val="1"/>
          <c:tx>
            <c:strRef>
              <c:f>no_swap!$E$1</c:f>
              <c:strCache>
                <c:ptCount val="1"/>
                <c:pt idx="0">
                  <c:v>Heuristic methods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no_swap!$A$3:$A$6</c:f>
              <c:strCache>
                <c:ptCount val="4"/>
                <c:pt idx="0">
                  <c:v>Run with 1 depot</c:v>
                </c:pt>
                <c:pt idx="1">
                  <c:v>Run with 2 depots</c:v>
                </c:pt>
                <c:pt idx="2">
                  <c:v>Run with 3 depots</c:v>
                </c:pt>
                <c:pt idx="3">
                  <c:v>Run with 4 depots</c:v>
                </c:pt>
              </c:strCache>
            </c:strRef>
          </c:xVal>
          <c:yVal>
            <c:numRef>
              <c:f>no_swap!$E$3:$E$6</c:f>
              <c:numCache>
                <c:formatCode>General</c:formatCode>
                <c:ptCount val="4"/>
                <c:pt idx="0">
                  <c:v>36</c:v>
                </c:pt>
                <c:pt idx="1">
                  <c:v>20</c:v>
                </c:pt>
                <c:pt idx="2">
                  <c:v>12</c:v>
                </c:pt>
                <c:pt idx="3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710-A74F-B635-61B6A876A9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9854080"/>
        <c:axId val="719772464"/>
      </c:scatterChart>
      <c:valAx>
        <c:axId val="719854080"/>
        <c:scaling>
          <c:orientation val="minMax"/>
          <c:max val="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Depots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19772464"/>
        <c:crosses val="autoZero"/>
        <c:crossBetween val="midCat"/>
        <c:majorUnit val="1"/>
      </c:valAx>
      <c:valAx>
        <c:axId val="71977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198540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no_swap!$B$1</c:f>
              <c:strCache>
                <c:ptCount val="1"/>
                <c:pt idx="0">
                  <c:v>Optimal methods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no_swap!$A$3:$A$6</c:f>
              <c:strCache>
                <c:ptCount val="4"/>
                <c:pt idx="0">
                  <c:v>Run with 1 depot</c:v>
                </c:pt>
                <c:pt idx="1">
                  <c:v>Run with 2 depots</c:v>
                </c:pt>
                <c:pt idx="2">
                  <c:v>Run with 3 depots</c:v>
                </c:pt>
                <c:pt idx="3">
                  <c:v>Run with 4 depots</c:v>
                </c:pt>
              </c:strCache>
            </c:strRef>
          </c:xVal>
          <c:yVal>
            <c:numRef>
              <c:f>no_swap!$D$3:$D$6</c:f>
              <c:numCache>
                <c:formatCode>General</c:formatCode>
                <c:ptCount val="4"/>
                <c:pt idx="0">
                  <c:v>0.93629812499999998</c:v>
                </c:pt>
                <c:pt idx="1">
                  <c:v>5.6093122910000002</c:v>
                </c:pt>
                <c:pt idx="2">
                  <c:v>71.465657915999998</c:v>
                </c:pt>
                <c:pt idx="3">
                  <c:v>1090.485851958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4C-C54C-B093-5536B68A58D2}"/>
            </c:ext>
          </c:extLst>
        </c:ser>
        <c:ser>
          <c:idx val="1"/>
          <c:order val="1"/>
          <c:tx>
            <c:strRef>
              <c:f>no_swap!$E$1</c:f>
              <c:strCache>
                <c:ptCount val="1"/>
                <c:pt idx="0">
                  <c:v>Heuristic methods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no_swap!$A$3:$A$6</c:f>
              <c:strCache>
                <c:ptCount val="4"/>
                <c:pt idx="0">
                  <c:v>Run with 1 depot</c:v>
                </c:pt>
                <c:pt idx="1">
                  <c:v>Run with 2 depots</c:v>
                </c:pt>
                <c:pt idx="2">
                  <c:v>Run with 3 depots</c:v>
                </c:pt>
                <c:pt idx="3">
                  <c:v>Run with 4 depots</c:v>
                </c:pt>
              </c:strCache>
            </c:strRef>
          </c:xVal>
          <c:yVal>
            <c:numRef>
              <c:f>no_swap!$G$3:$G$6</c:f>
              <c:numCache>
                <c:formatCode>0.0000</c:formatCode>
                <c:ptCount val="4"/>
                <c:pt idx="0">
                  <c:v>8.5635419000000008E-3</c:v>
                </c:pt>
                <c:pt idx="1">
                  <c:v>1.87379791E-2</c:v>
                </c:pt>
                <c:pt idx="2">
                  <c:v>2.5767941699999901E-2</c:v>
                </c:pt>
                <c:pt idx="3">
                  <c:v>1.11325289999999E-2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4C-C54C-B093-5536B68A58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9875504"/>
        <c:axId val="769877504"/>
      </c:scatterChart>
      <c:valAx>
        <c:axId val="769875504"/>
        <c:scaling>
          <c:orientation val="minMax"/>
          <c:max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it-IT"/>
                  <a:t>Number of depots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it-IT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it-IT"/>
          </a:p>
        </c:txPr>
        <c:crossAx val="769877504"/>
        <c:crosses val="autoZero"/>
        <c:crossBetween val="midCat"/>
        <c:majorUnit val="1"/>
      </c:valAx>
      <c:valAx>
        <c:axId val="76987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it-IT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it-IT"/>
          </a:p>
        </c:txPr>
        <c:crossAx val="769875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no_swap!$B$1</c:f>
              <c:strCache>
                <c:ptCount val="1"/>
                <c:pt idx="0">
                  <c:v>Optimal methods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no_swap!$A$3:$A$6</c:f>
              <c:strCache>
                <c:ptCount val="4"/>
                <c:pt idx="0">
                  <c:v>Run with 1 depot</c:v>
                </c:pt>
                <c:pt idx="1">
                  <c:v>Run with 2 depots</c:v>
                </c:pt>
                <c:pt idx="2">
                  <c:v>Run with 3 depots</c:v>
                </c:pt>
                <c:pt idx="3">
                  <c:v>Run with 4 depots</c:v>
                </c:pt>
              </c:strCache>
            </c:strRef>
          </c:cat>
          <c:val>
            <c:numRef>
              <c:f>no_swap!$C$3:$C$6</c:f>
              <c:numCache>
                <c:formatCode>General</c:formatCode>
                <c:ptCount val="4"/>
                <c:pt idx="0">
                  <c:v>36</c:v>
                </c:pt>
                <c:pt idx="1">
                  <c:v>36</c:v>
                </c:pt>
                <c:pt idx="2">
                  <c:v>36</c:v>
                </c:pt>
                <c:pt idx="3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FD-5247-A1BA-FC1BBE592269}"/>
            </c:ext>
          </c:extLst>
        </c:ser>
        <c:ser>
          <c:idx val="1"/>
          <c:order val="1"/>
          <c:tx>
            <c:strRef>
              <c:f>no_swap!$E$1</c:f>
              <c:strCache>
                <c:ptCount val="1"/>
                <c:pt idx="0">
                  <c:v>Heuristic methods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no_swap!$A$3:$A$6</c:f>
              <c:strCache>
                <c:ptCount val="4"/>
                <c:pt idx="0">
                  <c:v>Run with 1 depot</c:v>
                </c:pt>
                <c:pt idx="1">
                  <c:v>Run with 2 depots</c:v>
                </c:pt>
                <c:pt idx="2">
                  <c:v>Run with 3 depots</c:v>
                </c:pt>
                <c:pt idx="3">
                  <c:v>Run with 4 depots</c:v>
                </c:pt>
              </c:strCache>
            </c:strRef>
          </c:cat>
          <c:val>
            <c:numRef>
              <c:f>no_swap!$F$3:$F$6</c:f>
              <c:numCache>
                <c:formatCode>General</c:formatCode>
                <c:ptCount val="4"/>
                <c:pt idx="0">
                  <c:v>36</c:v>
                </c:pt>
                <c:pt idx="1">
                  <c:v>36</c:v>
                </c:pt>
                <c:pt idx="2">
                  <c:v>36</c:v>
                </c:pt>
                <c:pt idx="3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FD-5247-A1BA-FC1BBE5922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9875504"/>
        <c:axId val="769877504"/>
      </c:barChart>
      <c:catAx>
        <c:axId val="769875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it-IT"/>
                  <a:t>Depots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it-IT"/>
          </a:p>
        </c:txPr>
        <c:crossAx val="769877504"/>
        <c:crosses val="autoZero"/>
        <c:auto val="1"/>
        <c:lblAlgn val="ctr"/>
        <c:lblOffset val="100"/>
        <c:noMultiLvlLbl val="0"/>
      </c:catAx>
      <c:valAx>
        <c:axId val="76987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it-IT"/>
                  <a:t>Energy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it-IT"/>
          </a:p>
        </c:txPr>
        <c:crossAx val="769875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2"/>
          <c:order val="0"/>
          <c:tx>
            <c:strRef>
              <c:f>no_swap!$A$6</c:f>
              <c:strCache>
                <c:ptCount val="1"/>
                <c:pt idx="0">
                  <c:v>Run with 4 depots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no_swap!$H$2:$I$2</c:f>
              <c:strCache>
                <c:ptCount val="2"/>
                <c:pt idx="0">
                  <c:v>Mission time</c:v>
                </c:pt>
                <c:pt idx="1">
                  <c:v>Cumulative energy used by UAVs</c:v>
                </c:pt>
              </c:strCache>
            </c:strRef>
          </c:cat>
          <c:val>
            <c:numRef>
              <c:f>no_swap!$H$6:$I$6</c:f>
              <c:numCache>
                <c:formatCode>0.0%</c:formatCode>
                <c:ptCount val="2"/>
                <c:pt idx="0">
                  <c:v>0.2001</c:v>
                </c:pt>
                <c:pt idx="1">
                  <c:v>9.9999999999999995E-8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EAF-A540-9D7A-85B3E32D7DC6}"/>
            </c:ext>
          </c:extLst>
        </c:ser>
        <c:ser>
          <c:idx val="1"/>
          <c:order val="1"/>
          <c:tx>
            <c:strRef>
              <c:f>no_swap!$A$5</c:f>
              <c:strCache>
                <c:ptCount val="1"/>
                <c:pt idx="0">
                  <c:v>Run with 3 depots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no_swap!$H$2:$I$2</c:f>
              <c:strCache>
                <c:ptCount val="2"/>
                <c:pt idx="0">
                  <c:v>Mission time</c:v>
                </c:pt>
                <c:pt idx="1">
                  <c:v>Cumulative energy used by UAVs</c:v>
                </c:pt>
              </c:strCache>
            </c:strRef>
          </c:cat>
          <c:val>
            <c:numRef>
              <c:f>no_swap!$H$5:$I$5</c:f>
              <c:numCache>
                <c:formatCode>0.0%</c:formatCode>
                <c:ptCount val="2"/>
                <c:pt idx="0">
                  <c:v>1E-4</c:v>
                </c:pt>
                <c:pt idx="1">
                  <c:v>9.9999999999999995E-8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EAF-A540-9D7A-85B3E32D7DC6}"/>
            </c:ext>
          </c:extLst>
        </c:ser>
        <c:ser>
          <c:idx val="0"/>
          <c:order val="2"/>
          <c:tx>
            <c:strRef>
              <c:f>no_swap!$A$4</c:f>
              <c:strCache>
                <c:ptCount val="1"/>
                <c:pt idx="0">
                  <c:v>Run with 2 depots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it-IT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no_swap!$H$2:$I$2</c:f>
              <c:strCache>
                <c:ptCount val="2"/>
                <c:pt idx="0">
                  <c:v>Mission time</c:v>
                </c:pt>
                <c:pt idx="1">
                  <c:v>Cumulative energy used by UAVs</c:v>
                </c:pt>
              </c:strCache>
            </c:strRef>
          </c:cat>
          <c:val>
            <c:numRef>
              <c:f>no_swap!$H$4:$I$4</c:f>
              <c:numCache>
                <c:formatCode>0.0%</c:formatCode>
                <c:ptCount val="2"/>
                <c:pt idx="0">
                  <c:v>0.11121111111111111</c:v>
                </c:pt>
                <c:pt idx="1">
                  <c:v>9.9999999999999995E-8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EAF-A540-9D7A-85B3E32D7DC6}"/>
            </c:ext>
          </c:extLst>
        </c:ser>
        <c:ser>
          <c:idx val="3"/>
          <c:order val="3"/>
          <c:tx>
            <c:strRef>
              <c:f>no_swap!$A$3</c:f>
              <c:strCache>
                <c:ptCount val="1"/>
                <c:pt idx="0">
                  <c:v>Run with 1 depot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no_swap!$H$2:$I$2</c:f>
              <c:strCache>
                <c:ptCount val="2"/>
                <c:pt idx="0">
                  <c:v>Mission time</c:v>
                </c:pt>
                <c:pt idx="1">
                  <c:v>Cumulative energy used by UAVs</c:v>
                </c:pt>
              </c:strCache>
            </c:strRef>
          </c:cat>
          <c:val>
            <c:numRef>
              <c:f>no_swap!$H$3:$I$3</c:f>
              <c:numCache>
                <c:formatCode>0.0%</c:formatCode>
                <c:ptCount val="2"/>
                <c:pt idx="0">
                  <c:v>1E-4</c:v>
                </c:pt>
                <c:pt idx="1">
                  <c:v>9.9999999999999995E-8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EAF-A540-9D7A-85B3E32D7DC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55266143"/>
        <c:axId val="2086491568"/>
      </c:barChart>
      <c:catAx>
        <c:axId val="2552661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it-IT"/>
          </a:p>
        </c:txPr>
        <c:crossAx val="2086491568"/>
        <c:crosses val="autoZero"/>
        <c:auto val="1"/>
        <c:lblAlgn val="ctr"/>
        <c:lblOffset val="100"/>
        <c:noMultiLvlLbl val="0"/>
      </c:catAx>
      <c:valAx>
        <c:axId val="2086491568"/>
        <c:scaling>
          <c:orientation val="minMax"/>
          <c:max val="1"/>
          <c:min val="-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it-IT"/>
          </a:p>
        </c:txPr>
        <c:crossAx val="255266143"/>
        <c:crosses val="autoZero"/>
        <c:crossBetween val="between"/>
        <c:majorUnit val="0.2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'with_swap-22%bsp-1depot'!$B$1</c:f>
              <c:strCache>
                <c:ptCount val="1"/>
                <c:pt idx="0">
                  <c:v>Optimal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'with_swap-22%bsp-1depot'!$A$3:$A$11</c:f>
              <c:strCache>
                <c:ptCount val="9"/>
                <c:pt idx="0">
                  <c:v>testset2-d1-bsp22-rand1</c:v>
                </c:pt>
                <c:pt idx="1">
                  <c:v>testset2-d1-bsp22-rand2</c:v>
                </c:pt>
                <c:pt idx="2">
                  <c:v>testset2-d1-bsp22-rand3</c:v>
                </c:pt>
                <c:pt idx="3">
                  <c:v>testset2-d1-bsp22-rand4</c:v>
                </c:pt>
                <c:pt idx="4">
                  <c:v>testset2-d1-bsp22-rand5</c:v>
                </c:pt>
                <c:pt idx="5">
                  <c:v>testset2-d1-bsp22-rand6</c:v>
                </c:pt>
                <c:pt idx="6">
                  <c:v>testset2-d1-bsp22-rand7</c:v>
                </c:pt>
                <c:pt idx="7">
                  <c:v>testset2-d1-bsp22-rand8</c:v>
                </c:pt>
                <c:pt idx="8">
                  <c:v>testset2-d1-bsp22-rand9</c:v>
                </c:pt>
              </c:strCache>
            </c:strRef>
          </c:xVal>
          <c:yVal>
            <c:numRef>
              <c:f>'with_swap-22%bsp-1depot'!$B$3:$B$11</c:f>
              <c:numCache>
                <c:formatCode>General</c:formatCode>
                <c:ptCount val="9"/>
                <c:pt idx="0">
                  <c:v>37</c:v>
                </c:pt>
                <c:pt idx="1">
                  <c:v>37</c:v>
                </c:pt>
                <c:pt idx="2">
                  <c:v>37</c:v>
                </c:pt>
                <c:pt idx="3">
                  <c:v>37</c:v>
                </c:pt>
                <c:pt idx="4">
                  <c:v>37</c:v>
                </c:pt>
                <c:pt idx="5">
                  <c:v>37</c:v>
                </c:pt>
                <c:pt idx="6">
                  <c:v>37</c:v>
                </c:pt>
                <c:pt idx="7">
                  <c:v>37</c:v>
                </c:pt>
                <c:pt idx="8">
                  <c:v>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F9-184E-B97F-12DEEFD6C89D}"/>
            </c:ext>
          </c:extLst>
        </c:ser>
        <c:ser>
          <c:idx val="1"/>
          <c:order val="1"/>
          <c:tx>
            <c:strRef>
              <c:f>'with_swap-22%bsp-1depot'!$I$1</c:f>
              <c:strCache>
                <c:ptCount val="1"/>
                <c:pt idx="0">
                  <c:v>Heuristic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'with_swap-22%bsp-1depot'!$A$3:$A$11</c:f>
              <c:strCache>
                <c:ptCount val="9"/>
                <c:pt idx="0">
                  <c:v>testset2-d1-bsp22-rand1</c:v>
                </c:pt>
                <c:pt idx="1">
                  <c:v>testset2-d1-bsp22-rand2</c:v>
                </c:pt>
                <c:pt idx="2">
                  <c:v>testset2-d1-bsp22-rand3</c:v>
                </c:pt>
                <c:pt idx="3">
                  <c:v>testset2-d1-bsp22-rand4</c:v>
                </c:pt>
                <c:pt idx="4">
                  <c:v>testset2-d1-bsp22-rand5</c:v>
                </c:pt>
                <c:pt idx="5">
                  <c:v>testset2-d1-bsp22-rand6</c:v>
                </c:pt>
                <c:pt idx="6">
                  <c:v>testset2-d1-bsp22-rand7</c:v>
                </c:pt>
                <c:pt idx="7">
                  <c:v>testset2-d1-bsp22-rand8</c:v>
                </c:pt>
                <c:pt idx="8">
                  <c:v>testset2-d1-bsp22-rand9</c:v>
                </c:pt>
              </c:strCache>
            </c:strRef>
          </c:xVal>
          <c:yVal>
            <c:numRef>
              <c:f>'with_swap-22%bsp-1depot'!$I$3:$I$11</c:f>
              <c:numCache>
                <c:formatCode>General</c:formatCode>
                <c:ptCount val="9"/>
                <c:pt idx="0">
                  <c:v>37</c:v>
                </c:pt>
                <c:pt idx="1">
                  <c:v>37</c:v>
                </c:pt>
                <c:pt idx="2">
                  <c:v>38</c:v>
                </c:pt>
                <c:pt idx="3">
                  <c:v>37</c:v>
                </c:pt>
                <c:pt idx="4">
                  <c:v>38</c:v>
                </c:pt>
                <c:pt idx="5">
                  <c:v>38</c:v>
                </c:pt>
                <c:pt idx="6">
                  <c:v>37</c:v>
                </c:pt>
                <c:pt idx="7">
                  <c:v>38</c:v>
                </c:pt>
                <c:pt idx="8">
                  <c:v>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F9-184E-B97F-12DEEFD6C8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9854080"/>
        <c:axId val="719772464"/>
      </c:scatterChart>
      <c:valAx>
        <c:axId val="719854080"/>
        <c:scaling>
          <c:orientation val="minMax"/>
          <c:max val="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Depots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19772464"/>
        <c:crosses val="autoZero"/>
        <c:crossBetween val="midCat"/>
        <c:majorUnit val="1"/>
      </c:valAx>
      <c:valAx>
        <c:axId val="71977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198540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'with_swap-22%bsp-1depot'!$B$1</c:f>
              <c:strCache>
                <c:ptCount val="1"/>
                <c:pt idx="0">
                  <c:v>Optimal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'with_swap-22%bsp-1depot'!$A$3:$A$11</c:f>
              <c:strCache>
                <c:ptCount val="9"/>
                <c:pt idx="0">
                  <c:v>testset2-d1-bsp22-rand1</c:v>
                </c:pt>
                <c:pt idx="1">
                  <c:v>testset2-d1-bsp22-rand2</c:v>
                </c:pt>
                <c:pt idx="2">
                  <c:v>testset2-d1-bsp22-rand3</c:v>
                </c:pt>
                <c:pt idx="3">
                  <c:v>testset2-d1-bsp22-rand4</c:v>
                </c:pt>
                <c:pt idx="4">
                  <c:v>testset2-d1-bsp22-rand5</c:v>
                </c:pt>
                <c:pt idx="5">
                  <c:v>testset2-d1-bsp22-rand6</c:v>
                </c:pt>
                <c:pt idx="6">
                  <c:v>testset2-d1-bsp22-rand7</c:v>
                </c:pt>
                <c:pt idx="7">
                  <c:v>testset2-d1-bsp22-rand8</c:v>
                </c:pt>
                <c:pt idx="8">
                  <c:v>testset2-d1-bsp22-rand9</c:v>
                </c:pt>
              </c:strCache>
            </c:strRef>
          </c:xVal>
          <c:yVal>
            <c:numRef>
              <c:f>'with_swap-22%bsp-1depot'!$D$3:$D$11</c:f>
              <c:numCache>
                <c:formatCode>0.0000</c:formatCode>
                <c:ptCount val="9"/>
                <c:pt idx="0">
                  <c:v>50.766943875000003</c:v>
                </c:pt>
                <c:pt idx="1">
                  <c:v>63.580628958000005</c:v>
                </c:pt>
                <c:pt idx="2">
                  <c:v>63.231743291999884</c:v>
                </c:pt>
                <c:pt idx="3">
                  <c:v>39.06770041599998</c:v>
                </c:pt>
                <c:pt idx="4">
                  <c:v>47.810953624999854</c:v>
                </c:pt>
                <c:pt idx="5">
                  <c:v>38.796644667000017</c:v>
                </c:pt>
                <c:pt idx="6">
                  <c:v>80.244526832999924</c:v>
                </c:pt>
                <c:pt idx="7">
                  <c:v>209.85773516699896</c:v>
                </c:pt>
                <c:pt idx="8">
                  <c:v>101.43857800000001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3B-A245-B700-5D15D47C8B22}"/>
            </c:ext>
          </c:extLst>
        </c:ser>
        <c:ser>
          <c:idx val="1"/>
          <c:order val="1"/>
          <c:tx>
            <c:strRef>
              <c:f>'with_swap-22%bsp-1depot'!$I$1</c:f>
              <c:strCache>
                <c:ptCount val="1"/>
                <c:pt idx="0">
                  <c:v>Heuristic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'with_swap-22%bsp-1depot'!$A$3:$A$11</c:f>
              <c:strCache>
                <c:ptCount val="9"/>
                <c:pt idx="0">
                  <c:v>testset2-d1-bsp22-rand1</c:v>
                </c:pt>
                <c:pt idx="1">
                  <c:v>testset2-d1-bsp22-rand2</c:v>
                </c:pt>
                <c:pt idx="2">
                  <c:v>testset2-d1-bsp22-rand3</c:v>
                </c:pt>
                <c:pt idx="3">
                  <c:v>testset2-d1-bsp22-rand4</c:v>
                </c:pt>
                <c:pt idx="4">
                  <c:v>testset2-d1-bsp22-rand5</c:v>
                </c:pt>
                <c:pt idx="5">
                  <c:v>testset2-d1-bsp22-rand6</c:v>
                </c:pt>
                <c:pt idx="6">
                  <c:v>testset2-d1-bsp22-rand7</c:v>
                </c:pt>
                <c:pt idx="7">
                  <c:v>testset2-d1-bsp22-rand8</c:v>
                </c:pt>
                <c:pt idx="8">
                  <c:v>testset2-d1-bsp22-rand9</c:v>
                </c:pt>
              </c:strCache>
            </c:strRef>
          </c:xVal>
          <c:yVal>
            <c:numRef>
              <c:f>'with_swap-22%bsp-1depot'!$K$3:$K$11</c:f>
              <c:numCache>
                <c:formatCode>0.000000</c:formatCode>
                <c:ptCount val="9"/>
                <c:pt idx="0">
                  <c:v>5.5285211000000003E-3</c:v>
                </c:pt>
                <c:pt idx="1">
                  <c:v>1.7660832999999989E-3</c:v>
                </c:pt>
                <c:pt idx="2">
                  <c:v>3.4602709E-3</c:v>
                </c:pt>
                <c:pt idx="3">
                  <c:v>2.0201371E-3</c:v>
                </c:pt>
                <c:pt idx="4">
                  <c:v>1.2060998E-3</c:v>
                </c:pt>
                <c:pt idx="5">
                  <c:v>1.1470578999999989E-3</c:v>
                </c:pt>
                <c:pt idx="6">
                  <c:v>1.2651335000000001E-3</c:v>
                </c:pt>
                <c:pt idx="7">
                  <c:v>1.0830458999999998E-3</c:v>
                </c:pt>
                <c:pt idx="8">
                  <c:v>1.7791000000000001E-2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23B-A245-B700-5D15D47C8B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9875504"/>
        <c:axId val="769877504"/>
      </c:scatterChart>
      <c:valAx>
        <c:axId val="769875504"/>
        <c:scaling>
          <c:orientation val="minMax"/>
          <c:max val="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it-IT"/>
                  <a:t>Depots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it-IT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it-IT"/>
          </a:p>
        </c:txPr>
        <c:crossAx val="769877504"/>
        <c:crosses val="autoZero"/>
        <c:crossBetween val="midCat"/>
        <c:majorUnit val="1"/>
      </c:valAx>
      <c:valAx>
        <c:axId val="76987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it-IT"/>
                  <a:t>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it-IT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it-IT"/>
          </a:p>
        </c:txPr>
        <c:crossAx val="769875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'with_swap-22%bsp-1depot'!$B$1</c:f>
              <c:strCache>
                <c:ptCount val="1"/>
                <c:pt idx="0">
                  <c:v>Optimal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'with_swap-22%bsp-1depot'!$A$3</c:f>
              <c:strCache>
                <c:ptCount val="1"/>
                <c:pt idx="0">
                  <c:v>testset2-d1-bsp22-rand1</c:v>
                </c:pt>
              </c:strCache>
            </c:strRef>
          </c:cat>
          <c:val>
            <c:numRef>
              <c:f>'with_swap-22%bsp-1depot'!$C$3</c:f>
              <c:numCache>
                <c:formatCode>General</c:formatCode>
                <c:ptCount val="1"/>
                <c:pt idx="0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51-E24D-A621-3699E8A38A61}"/>
            </c:ext>
          </c:extLst>
        </c:ser>
        <c:ser>
          <c:idx val="1"/>
          <c:order val="1"/>
          <c:tx>
            <c:strRef>
              <c:f>'with_swap-22%bsp-1depot'!$I$1</c:f>
              <c:strCache>
                <c:ptCount val="1"/>
                <c:pt idx="0">
                  <c:v>Heuristic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'with_swap-22%bsp-1depot'!$A$3</c:f>
              <c:strCache>
                <c:ptCount val="1"/>
                <c:pt idx="0">
                  <c:v>testset2-d1-bsp22-rand1</c:v>
                </c:pt>
              </c:strCache>
            </c:strRef>
          </c:cat>
          <c:val>
            <c:numRef>
              <c:f>'with_swap-22%bsp-1depot'!$J$3</c:f>
              <c:numCache>
                <c:formatCode>General</c:formatCode>
                <c:ptCount val="1"/>
                <c:pt idx="0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51-E24D-A621-3699E8A38A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9875504"/>
        <c:axId val="769877504"/>
      </c:barChart>
      <c:catAx>
        <c:axId val="769875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it-IT"/>
                  <a:t>Depots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it-IT"/>
          </a:p>
        </c:txPr>
        <c:crossAx val="769877504"/>
        <c:crosses val="autoZero"/>
        <c:auto val="1"/>
        <c:lblAlgn val="ctr"/>
        <c:lblOffset val="100"/>
        <c:noMultiLvlLbl val="0"/>
      </c:catAx>
      <c:valAx>
        <c:axId val="76987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it-IT"/>
                  <a:t>Energy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it-IT"/>
          </a:p>
        </c:txPr>
        <c:crossAx val="769875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'with_swap-33%bsp-1depot'!$B$1</c:f>
              <c:strCache>
                <c:ptCount val="1"/>
                <c:pt idx="0">
                  <c:v>Optimal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'with_swap-33%bsp-1depot'!$A$3:$A$9</c:f>
              <c:strCache>
                <c:ptCount val="7"/>
                <c:pt idx="0">
                  <c:v>testset2-d1-bsp33-rand1</c:v>
                </c:pt>
                <c:pt idx="1">
                  <c:v>testset2-d1-bsp33-rand2</c:v>
                </c:pt>
                <c:pt idx="2">
                  <c:v>testset2-d1-bsp33-rand3</c:v>
                </c:pt>
                <c:pt idx="3">
                  <c:v>testset2-d1-bsp33-rand4</c:v>
                </c:pt>
                <c:pt idx="4">
                  <c:v>testset2-d1-bsp33-rand5</c:v>
                </c:pt>
                <c:pt idx="5">
                  <c:v>testset2-d1-bsp33-rand6</c:v>
                </c:pt>
                <c:pt idx="6">
                  <c:v>testset2-d1-bsp33-rand7</c:v>
                </c:pt>
              </c:strCache>
            </c:strRef>
          </c:xVal>
          <c:yVal>
            <c:numRef>
              <c:f>'with_swap-33%bsp-1depot'!$B$3:$B$9</c:f>
              <c:numCache>
                <c:formatCode>General</c:formatCode>
                <c:ptCount val="7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D9-C34A-8AF4-8A932EC773D1}"/>
            </c:ext>
          </c:extLst>
        </c:ser>
        <c:ser>
          <c:idx val="1"/>
          <c:order val="1"/>
          <c:tx>
            <c:strRef>
              <c:f>'with_swap-33%bsp-1depot'!$I$1</c:f>
              <c:strCache>
                <c:ptCount val="1"/>
                <c:pt idx="0">
                  <c:v>Heuristic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'with_swap-33%bsp-1depot'!$A$3:$A$9</c:f>
              <c:strCache>
                <c:ptCount val="7"/>
                <c:pt idx="0">
                  <c:v>testset2-d1-bsp33-rand1</c:v>
                </c:pt>
                <c:pt idx="1">
                  <c:v>testset2-d1-bsp33-rand2</c:v>
                </c:pt>
                <c:pt idx="2">
                  <c:v>testset2-d1-bsp33-rand3</c:v>
                </c:pt>
                <c:pt idx="3">
                  <c:v>testset2-d1-bsp33-rand4</c:v>
                </c:pt>
                <c:pt idx="4">
                  <c:v>testset2-d1-bsp33-rand5</c:v>
                </c:pt>
                <c:pt idx="5">
                  <c:v>testset2-d1-bsp33-rand6</c:v>
                </c:pt>
                <c:pt idx="6">
                  <c:v>testset2-d1-bsp33-rand7</c:v>
                </c:pt>
              </c:strCache>
            </c:strRef>
          </c:xVal>
          <c:yVal>
            <c:numRef>
              <c:f>'with_swap-33%bsp-1depot'!$I$3:$I$9</c:f>
              <c:numCache>
                <c:formatCode>General</c:formatCode>
                <c:ptCount val="7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D9-C34A-8AF4-8A932EC773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9854080"/>
        <c:axId val="719772464"/>
      </c:scatterChart>
      <c:valAx>
        <c:axId val="719854080"/>
        <c:scaling>
          <c:orientation val="minMax"/>
          <c:max val="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Depots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19772464"/>
        <c:crosses val="autoZero"/>
        <c:crossBetween val="midCat"/>
        <c:majorUnit val="1"/>
      </c:valAx>
      <c:valAx>
        <c:axId val="71977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198540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'with_swap-33%bsp-1depot'!$B$1</c:f>
              <c:strCache>
                <c:ptCount val="1"/>
                <c:pt idx="0">
                  <c:v>Optimal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'with_swap-33%bsp-1depot'!$A$3:$A$9</c:f>
              <c:strCache>
                <c:ptCount val="7"/>
                <c:pt idx="0">
                  <c:v>testset2-d1-bsp33-rand1</c:v>
                </c:pt>
                <c:pt idx="1">
                  <c:v>testset2-d1-bsp33-rand2</c:v>
                </c:pt>
                <c:pt idx="2">
                  <c:v>testset2-d1-bsp33-rand3</c:v>
                </c:pt>
                <c:pt idx="3">
                  <c:v>testset2-d1-bsp33-rand4</c:v>
                </c:pt>
                <c:pt idx="4">
                  <c:v>testset2-d1-bsp33-rand5</c:v>
                </c:pt>
                <c:pt idx="5">
                  <c:v>testset2-d1-bsp33-rand6</c:v>
                </c:pt>
                <c:pt idx="6">
                  <c:v>testset2-d1-bsp33-rand7</c:v>
                </c:pt>
              </c:strCache>
            </c:strRef>
          </c:xVal>
          <c:yVal>
            <c:numRef>
              <c:f>'with_swap-33%bsp-1depot'!$D$3:$D$9</c:f>
              <c:numCache>
                <c:formatCode>0.0000</c:formatCode>
                <c:ptCount val="7"/>
                <c:pt idx="0">
                  <c:v>9.2497559999999996</c:v>
                </c:pt>
                <c:pt idx="1">
                  <c:v>14.638124748999999</c:v>
                </c:pt>
                <c:pt idx="2">
                  <c:v>10.883166790999899</c:v>
                </c:pt>
                <c:pt idx="3">
                  <c:v>11.853127499999999</c:v>
                </c:pt>
                <c:pt idx="4">
                  <c:v>10.559301041999994</c:v>
                </c:pt>
                <c:pt idx="5">
                  <c:v>9.0309202909999833</c:v>
                </c:pt>
                <c:pt idx="6">
                  <c:v>8.6673272919999871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D2-6C4E-BF10-3FE1FE2F0167}"/>
            </c:ext>
          </c:extLst>
        </c:ser>
        <c:ser>
          <c:idx val="1"/>
          <c:order val="1"/>
          <c:tx>
            <c:strRef>
              <c:f>'with_swap-33%bsp-1depot'!$I$1</c:f>
              <c:strCache>
                <c:ptCount val="1"/>
                <c:pt idx="0">
                  <c:v>Heuristic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'with_swap-33%bsp-1depot'!$A$3:$A$9</c:f>
              <c:strCache>
                <c:ptCount val="7"/>
                <c:pt idx="0">
                  <c:v>testset2-d1-bsp33-rand1</c:v>
                </c:pt>
                <c:pt idx="1">
                  <c:v>testset2-d1-bsp33-rand2</c:v>
                </c:pt>
                <c:pt idx="2">
                  <c:v>testset2-d1-bsp33-rand3</c:v>
                </c:pt>
                <c:pt idx="3">
                  <c:v>testset2-d1-bsp33-rand4</c:v>
                </c:pt>
                <c:pt idx="4">
                  <c:v>testset2-d1-bsp33-rand5</c:v>
                </c:pt>
                <c:pt idx="5">
                  <c:v>testset2-d1-bsp33-rand6</c:v>
                </c:pt>
                <c:pt idx="6">
                  <c:v>testset2-d1-bsp33-rand7</c:v>
                </c:pt>
              </c:strCache>
            </c:strRef>
          </c:xVal>
          <c:yVal>
            <c:numRef>
              <c:f>'with_swap-33%bsp-1depot'!$K$3:$K$9</c:f>
              <c:numCache>
                <c:formatCode>0.000000</c:formatCode>
                <c:ptCount val="7"/>
                <c:pt idx="0">
                  <c:v>0.102793</c:v>
                </c:pt>
                <c:pt idx="1">
                  <c:v>1.0510000000000001E-3</c:v>
                </c:pt>
                <c:pt idx="2">
                  <c:v>7.3594999999999994E-2</c:v>
                </c:pt>
                <c:pt idx="3">
                  <c:v>4.0400000000000001E-4</c:v>
                </c:pt>
                <c:pt idx="4">
                  <c:v>4.2300000000000004E-4</c:v>
                </c:pt>
                <c:pt idx="5">
                  <c:v>3.3700000000000001E-4</c:v>
                </c:pt>
                <c:pt idx="6">
                  <c:v>5.1876000000000005E-2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BD2-6C4E-BF10-3FE1FE2F01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9875504"/>
        <c:axId val="769877504"/>
      </c:scatterChart>
      <c:valAx>
        <c:axId val="769875504"/>
        <c:scaling>
          <c:orientation val="minMax"/>
          <c:max val="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it-IT"/>
                  <a:t>Depots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it-IT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it-IT"/>
          </a:p>
        </c:txPr>
        <c:crossAx val="769877504"/>
        <c:crosses val="autoZero"/>
        <c:crossBetween val="midCat"/>
        <c:majorUnit val="1"/>
      </c:valAx>
      <c:valAx>
        <c:axId val="76987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it-IT"/>
                  <a:t>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it-IT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it-IT"/>
          </a:p>
        </c:txPr>
        <c:crossAx val="769875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'with_swap-33%bsp-1depot'!$B$1</c:f>
              <c:strCache>
                <c:ptCount val="1"/>
                <c:pt idx="0">
                  <c:v>Optimal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'with_swap-33%bsp-1depot'!$A$3</c:f>
              <c:strCache>
                <c:ptCount val="1"/>
                <c:pt idx="0">
                  <c:v>testset2-d1-bsp33-rand1</c:v>
                </c:pt>
              </c:strCache>
            </c:strRef>
          </c:cat>
          <c:val>
            <c:numRef>
              <c:f>'with_swap-33%bsp-1depot'!$C$3</c:f>
              <c:numCache>
                <c:formatCode>General</c:formatCode>
                <c:ptCount val="1"/>
                <c:pt idx="0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09-C340-8C7A-10E7CEDCF1A4}"/>
            </c:ext>
          </c:extLst>
        </c:ser>
        <c:ser>
          <c:idx val="1"/>
          <c:order val="1"/>
          <c:tx>
            <c:strRef>
              <c:f>'with_swap-33%bsp-1depot'!$I$1</c:f>
              <c:strCache>
                <c:ptCount val="1"/>
                <c:pt idx="0">
                  <c:v>Heuristic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'with_swap-33%bsp-1depot'!$A$3</c:f>
              <c:strCache>
                <c:ptCount val="1"/>
                <c:pt idx="0">
                  <c:v>testset2-d1-bsp33-rand1</c:v>
                </c:pt>
              </c:strCache>
            </c:strRef>
          </c:cat>
          <c:val>
            <c:numRef>
              <c:f>'with_swap-33%bsp-1depot'!$J$3</c:f>
              <c:numCache>
                <c:formatCode>General</c:formatCode>
                <c:ptCount val="1"/>
                <c:pt idx="0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09-C340-8C7A-10E7CEDCF1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9875504"/>
        <c:axId val="769877504"/>
      </c:barChart>
      <c:catAx>
        <c:axId val="769875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it-IT"/>
                  <a:t>Depots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it-IT"/>
          </a:p>
        </c:txPr>
        <c:crossAx val="769877504"/>
        <c:crosses val="autoZero"/>
        <c:auto val="1"/>
        <c:lblAlgn val="ctr"/>
        <c:lblOffset val="100"/>
        <c:noMultiLvlLbl val="0"/>
      </c:catAx>
      <c:valAx>
        <c:axId val="76987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it-IT"/>
                  <a:t>Energy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it-IT"/>
          </a:p>
        </c:txPr>
        <c:crossAx val="769875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'with_swap-100%bsp-1depot'!$B$1</c:f>
              <c:strCache>
                <c:ptCount val="1"/>
                <c:pt idx="0">
                  <c:v>Optimal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'with_swap-100%bsp-1depot'!$A$3:$A$5</c:f>
              <c:strCache>
                <c:ptCount val="3"/>
                <c:pt idx="0">
                  <c:v>testset2-d1-bsp100-rand1</c:v>
                </c:pt>
                <c:pt idx="1">
                  <c:v>testset2-d1-bsp100-rand2</c:v>
                </c:pt>
                <c:pt idx="2">
                  <c:v>testset2-d1-bsp100-rand3</c:v>
                </c:pt>
              </c:strCache>
            </c:strRef>
          </c:xVal>
          <c:yVal>
            <c:numRef>
              <c:f>'with_swap-100%bsp-1depot'!$B$3:$B$5</c:f>
              <c:numCache>
                <c:formatCode>General</c:formatCode>
                <c:ptCount val="3"/>
                <c:pt idx="0">
                  <c:v>17</c:v>
                </c:pt>
                <c:pt idx="1">
                  <c:v>17</c:v>
                </c:pt>
                <c:pt idx="2">
                  <c:v>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5A-6741-996E-97DC30D0C46F}"/>
            </c:ext>
          </c:extLst>
        </c:ser>
        <c:ser>
          <c:idx val="1"/>
          <c:order val="1"/>
          <c:tx>
            <c:strRef>
              <c:f>'with_swap-100%bsp-1depot'!$I$1</c:f>
              <c:strCache>
                <c:ptCount val="1"/>
                <c:pt idx="0">
                  <c:v>Heuristic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'with_swap-100%bsp-1depot'!$A$3:$A$5</c:f>
              <c:strCache>
                <c:ptCount val="3"/>
                <c:pt idx="0">
                  <c:v>testset2-d1-bsp100-rand1</c:v>
                </c:pt>
                <c:pt idx="1">
                  <c:v>testset2-d1-bsp100-rand2</c:v>
                </c:pt>
                <c:pt idx="2">
                  <c:v>testset2-d1-bsp100-rand3</c:v>
                </c:pt>
              </c:strCache>
            </c:strRef>
          </c:xVal>
          <c:yVal>
            <c:numRef>
              <c:f>'with_swap-100%bsp-1depot'!$I$3:$I$5</c:f>
              <c:numCache>
                <c:formatCode>General</c:formatCode>
                <c:ptCount val="3"/>
                <c:pt idx="0">
                  <c:v>17</c:v>
                </c:pt>
                <c:pt idx="1">
                  <c:v>17</c:v>
                </c:pt>
                <c:pt idx="2">
                  <c:v>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95A-6741-996E-97DC30D0C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9854080"/>
        <c:axId val="719772464"/>
      </c:scatterChart>
      <c:valAx>
        <c:axId val="719854080"/>
        <c:scaling>
          <c:orientation val="minMax"/>
          <c:max val="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Depots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19772464"/>
        <c:crosses val="autoZero"/>
        <c:crossBetween val="midCat"/>
        <c:majorUnit val="1"/>
      </c:valAx>
      <c:valAx>
        <c:axId val="71977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198540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'with_swap-100%bsp-1depot'!$B$1</c:f>
              <c:strCache>
                <c:ptCount val="1"/>
                <c:pt idx="0">
                  <c:v>Optimal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'with_swap-100%bsp-1depot'!$A$3:$A$5</c:f>
              <c:strCache>
                <c:ptCount val="3"/>
                <c:pt idx="0">
                  <c:v>testset2-d1-bsp100-rand1</c:v>
                </c:pt>
                <c:pt idx="1">
                  <c:v>testset2-d1-bsp100-rand2</c:v>
                </c:pt>
                <c:pt idx="2">
                  <c:v>testset2-d1-bsp100-rand3</c:v>
                </c:pt>
              </c:strCache>
            </c:strRef>
          </c:xVal>
          <c:yVal>
            <c:numRef>
              <c:f>'with_swap-100%bsp-1depot'!$D$3:$D$5</c:f>
              <c:numCache>
                <c:formatCode>0.0000</c:formatCode>
                <c:ptCount val="3"/>
                <c:pt idx="0">
                  <c:v>0</c:v>
                </c:pt>
                <c:pt idx="1">
                  <c:v>16.239948666999997</c:v>
                </c:pt>
                <c:pt idx="2">
                  <c:v>13.775385125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89-EE4D-AB3F-311EA73EEE6D}"/>
            </c:ext>
          </c:extLst>
        </c:ser>
        <c:ser>
          <c:idx val="1"/>
          <c:order val="1"/>
          <c:tx>
            <c:strRef>
              <c:f>'with_swap-100%bsp-1depot'!$I$1</c:f>
              <c:strCache>
                <c:ptCount val="1"/>
                <c:pt idx="0">
                  <c:v>Heuristic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'with_swap-100%bsp-1depot'!$A$3:$A$5</c:f>
              <c:strCache>
                <c:ptCount val="3"/>
                <c:pt idx="0">
                  <c:v>testset2-d1-bsp100-rand1</c:v>
                </c:pt>
                <c:pt idx="1">
                  <c:v>testset2-d1-bsp100-rand2</c:v>
                </c:pt>
                <c:pt idx="2">
                  <c:v>testset2-d1-bsp100-rand3</c:v>
                </c:pt>
              </c:strCache>
            </c:strRef>
          </c:xVal>
          <c:yVal>
            <c:numRef>
              <c:f>'with_swap-100%bsp-1depot'!$K$3:$K$5</c:f>
              <c:numCache>
                <c:formatCode>0.000000</c:formatCode>
                <c:ptCount val="3"/>
                <c:pt idx="0">
                  <c:v>3.9740000000000001E-3</c:v>
                </c:pt>
                <c:pt idx="1">
                  <c:v>1.2049999999999999E-3</c:v>
                </c:pt>
                <c:pt idx="2">
                  <c:v>1.5610000000000001E-3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B89-EE4D-AB3F-311EA73EE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9875504"/>
        <c:axId val="769877504"/>
      </c:scatterChart>
      <c:valAx>
        <c:axId val="769875504"/>
        <c:scaling>
          <c:orientation val="minMax"/>
          <c:max val="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it-IT"/>
                  <a:t>Depots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it-IT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it-IT"/>
          </a:p>
        </c:txPr>
        <c:crossAx val="769877504"/>
        <c:crosses val="autoZero"/>
        <c:crossBetween val="midCat"/>
        <c:majorUnit val="1"/>
      </c:valAx>
      <c:valAx>
        <c:axId val="76987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it-IT"/>
                  <a:t>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it-IT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it-IT"/>
          </a:p>
        </c:txPr>
        <c:crossAx val="769875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'with_swap-100%bsp-1depot'!$B$1</c:f>
              <c:strCache>
                <c:ptCount val="1"/>
                <c:pt idx="0">
                  <c:v>Optimal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'with_swap-100%bsp-1depot'!$A$3</c:f>
              <c:strCache>
                <c:ptCount val="1"/>
                <c:pt idx="0">
                  <c:v>testset2-d1-bsp100-rand1</c:v>
                </c:pt>
              </c:strCache>
            </c:strRef>
          </c:cat>
          <c:val>
            <c:numRef>
              <c:f>'with_swap-100%bsp-1depot'!$C$3</c:f>
              <c:numCache>
                <c:formatCode>General</c:formatCode>
                <c:ptCount val="1"/>
                <c:pt idx="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A4-6D49-A692-4C9154F39CCF}"/>
            </c:ext>
          </c:extLst>
        </c:ser>
        <c:ser>
          <c:idx val="1"/>
          <c:order val="1"/>
          <c:tx>
            <c:strRef>
              <c:f>'with_swap-100%bsp-1depot'!$I$1</c:f>
              <c:strCache>
                <c:ptCount val="1"/>
                <c:pt idx="0">
                  <c:v>Heuristic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'with_swap-100%bsp-1depot'!$A$3</c:f>
              <c:strCache>
                <c:ptCount val="1"/>
                <c:pt idx="0">
                  <c:v>testset2-d1-bsp100-rand1</c:v>
                </c:pt>
              </c:strCache>
            </c:strRef>
          </c:cat>
          <c:val>
            <c:numRef>
              <c:f>'with_swap-100%bsp-1depot'!$J$3</c:f>
              <c:numCache>
                <c:formatCode>General</c:formatCode>
                <c:ptCount val="1"/>
                <c:pt idx="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A4-6D49-A692-4C9154F39C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9875504"/>
        <c:axId val="769877504"/>
      </c:barChart>
      <c:catAx>
        <c:axId val="769875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it-IT"/>
                  <a:t>Depots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it-IT"/>
          </a:p>
        </c:txPr>
        <c:crossAx val="769877504"/>
        <c:crosses val="autoZero"/>
        <c:auto val="1"/>
        <c:lblAlgn val="ctr"/>
        <c:lblOffset val="100"/>
        <c:noMultiLvlLbl val="0"/>
      </c:catAx>
      <c:valAx>
        <c:axId val="76987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it-IT"/>
                  <a:t>Energy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it-IT"/>
          </a:p>
        </c:txPr>
        <c:crossAx val="769875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2"/>
          <c:order val="0"/>
          <c:tx>
            <c:strRef>
              <c:f>'with_swap-summary'!$A$5</c:f>
              <c:strCache>
                <c:ptCount val="1"/>
                <c:pt idx="0">
                  <c:v>Test set #3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'with_swap-summary'!$L$2:$P$2</c:f>
              <c:strCache>
                <c:ptCount val="5"/>
                <c:pt idx="0">
                  <c:v>Mission time</c:v>
                </c:pt>
                <c:pt idx="1">
                  <c:v>Cumulative energy used by UAVs</c:v>
                </c:pt>
                <c:pt idx="2">
                  <c:v>No. of BSSes used</c:v>
                </c:pt>
                <c:pt idx="3">
                  <c:v>No. of battery used by UAVs</c:v>
                </c:pt>
                <c:pt idx="4">
                  <c:v>Execution time</c:v>
                </c:pt>
              </c:strCache>
            </c:strRef>
          </c:cat>
          <c:val>
            <c:numRef>
              <c:f>'with_swap-summary'!$L$5:$P$5</c:f>
              <c:numCache>
                <c:formatCode>0.0%</c:formatCode>
                <c:ptCount val="5"/>
                <c:pt idx="0">
                  <c:v>9.9999999999999995E-7</c:v>
                </c:pt>
                <c:pt idx="1">
                  <c:v>1.0000000000000001E-5</c:v>
                </c:pt>
                <c:pt idx="2">
                  <c:v>9.9999999999999995E-7</c:v>
                </c:pt>
                <c:pt idx="3">
                  <c:v>9.9999999999999995E-7</c:v>
                </c:pt>
                <c:pt idx="4" formatCode="0.00%">
                  <c:v>-0.99977544810773367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EC-C440-BA47-35932F1EA765}"/>
            </c:ext>
          </c:extLst>
        </c:ser>
        <c:ser>
          <c:idx val="1"/>
          <c:order val="1"/>
          <c:tx>
            <c:strRef>
              <c:f>'with_swap-summary'!$A$4</c:f>
              <c:strCache>
                <c:ptCount val="1"/>
                <c:pt idx="0">
                  <c:v>Test set #2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 w="9525" cap="flat" cmpd="sng" algn="ctr">
              <a:solidFill>
                <a:schemeClr val="accent4"/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'with_swap-summary'!$L$2:$P$2</c:f>
              <c:strCache>
                <c:ptCount val="5"/>
                <c:pt idx="0">
                  <c:v>Mission time</c:v>
                </c:pt>
                <c:pt idx="1">
                  <c:v>Cumulative energy used by UAVs</c:v>
                </c:pt>
                <c:pt idx="2">
                  <c:v>No. of BSSes used</c:v>
                </c:pt>
                <c:pt idx="3">
                  <c:v>No. of battery used by UAVs</c:v>
                </c:pt>
                <c:pt idx="4">
                  <c:v>Execution time</c:v>
                </c:pt>
              </c:strCache>
            </c:strRef>
          </c:cat>
          <c:val>
            <c:numRef>
              <c:f>'with_swap-summary'!$L$4:$P$4</c:f>
              <c:numCache>
                <c:formatCode>0.0%</c:formatCode>
                <c:ptCount val="5"/>
                <c:pt idx="0">
                  <c:v>9.9999999999999995E-7</c:v>
                </c:pt>
                <c:pt idx="1">
                  <c:v>0.23392812865497081</c:v>
                </c:pt>
                <c:pt idx="2">
                  <c:v>-0.23076823076923078</c:v>
                </c:pt>
                <c:pt idx="3">
                  <c:v>9.9999999999999995E-7</c:v>
                </c:pt>
                <c:pt idx="4" formatCode="0.00%">
                  <c:v>-0.99692209275215016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EC-C440-BA47-35932F1EA765}"/>
            </c:ext>
          </c:extLst>
        </c:ser>
        <c:ser>
          <c:idx val="0"/>
          <c:order val="2"/>
          <c:tx>
            <c:strRef>
              <c:f>'with_swap-summary'!$A$3</c:f>
              <c:strCache>
                <c:ptCount val="1"/>
                <c:pt idx="0">
                  <c:v>Test set #1</c:v>
                </c:pt>
              </c:strCache>
            </c:strRef>
          </c:tx>
          <c:spPr>
            <a:solidFill>
              <a:srgbClr val="92D050"/>
            </a:solidFill>
            <a:ln w="9525" cap="flat" cmpd="sng" algn="ctr">
              <a:solidFill>
                <a:srgbClr val="00B050"/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'with_swap-summary'!$L$2:$P$2</c:f>
              <c:strCache>
                <c:ptCount val="5"/>
                <c:pt idx="0">
                  <c:v>Mission time</c:v>
                </c:pt>
                <c:pt idx="1">
                  <c:v>Cumulative energy used by UAVs</c:v>
                </c:pt>
                <c:pt idx="2">
                  <c:v>No. of BSSes used</c:v>
                </c:pt>
                <c:pt idx="3">
                  <c:v>No. of battery used by UAVs</c:v>
                </c:pt>
                <c:pt idx="4">
                  <c:v>Execution time</c:v>
                </c:pt>
              </c:strCache>
            </c:strRef>
          </c:cat>
          <c:val>
            <c:numRef>
              <c:f>'with_swap-summary'!$L$3:$P$3</c:f>
              <c:numCache>
                <c:formatCode>0.0%</c:formatCode>
                <c:ptCount val="5"/>
                <c:pt idx="0">
                  <c:v>1.5016015015015058E-2</c:v>
                </c:pt>
                <c:pt idx="1">
                  <c:v>0.14198530864197539</c:v>
                </c:pt>
                <c:pt idx="2">
                  <c:v>9.9999999999999995E-7</c:v>
                </c:pt>
                <c:pt idx="3">
                  <c:v>0.27777877777777765</c:v>
                </c:pt>
                <c:pt idx="4" formatCode="0.00%">
                  <c:v>-0.9999492406732734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EC-C440-BA47-35932F1EA76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55266143"/>
        <c:axId val="2086491568"/>
      </c:barChart>
      <c:catAx>
        <c:axId val="2552661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it-IT"/>
          </a:p>
        </c:txPr>
        <c:crossAx val="2086491568"/>
        <c:crosses val="autoZero"/>
        <c:auto val="1"/>
        <c:lblAlgn val="ctr"/>
        <c:lblOffset val="100"/>
        <c:noMultiLvlLbl val="0"/>
      </c:catAx>
      <c:valAx>
        <c:axId val="2086491568"/>
        <c:scaling>
          <c:orientation val="minMax"/>
          <c:max val="1"/>
          <c:min val="-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it-IT"/>
          </a:p>
        </c:txPr>
        <c:crossAx val="255266143"/>
        <c:crosses val="autoZero"/>
        <c:crossBetween val="between"/>
        <c:majorUnit val="0.2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3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'with_swap-summary'!$B$1:$D$1</c:f>
              <c:strCache>
                <c:ptCount val="1"/>
                <c:pt idx="0">
                  <c:v>Optimal methods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.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.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('with_swap-summary'!$A$3,'with_swap-summary'!$A$4,'with_swap-summary'!$A$5)</c:f>
              <c:strCache>
                <c:ptCount val="3"/>
                <c:pt idx="0">
                  <c:v>Test set #1</c:v>
                </c:pt>
                <c:pt idx="1">
                  <c:v>Test set #2</c:v>
                </c:pt>
                <c:pt idx="2">
                  <c:v>Test set #3</c:v>
                </c:pt>
              </c:strCache>
            </c:strRef>
          </c:cat>
          <c:val>
            <c:numRef>
              <c:f>('with_swap-summary'!$D$3,'with_swap-summary'!$D$4,'with_swap-summary'!$D$5)</c:f>
              <c:numCache>
                <c:formatCode>General</c:formatCode>
                <c:ptCount val="3"/>
                <c:pt idx="0">
                  <c:v>77.199494981444289</c:v>
                </c:pt>
                <c:pt idx="1">
                  <c:v>10.697389094999979</c:v>
                </c:pt>
                <c:pt idx="2">
                  <c:v>10.005111263999998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47-8F4E-9D57-33AF15215C0E}"/>
            </c:ext>
          </c:extLst>
        </c:ser>
        <c:ser>
          <c:idx val="1"/>
          <c:order val="1"/>
          <c:tx>
            <c:strRef>
              <c:f>'with_swap-summary'!$G$1:$K$1</c:f>
              <c:strCache>
                <c:ptCount val="1"/>
                <c:pt idx="0">
                  <c:v>Heuristic methods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.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('with_swap-summary'!$A$3,'with_swap-summary'!$A$4,'with_swap-summary'!$A$5)</c:f>
              <c:strCache>
                <c:ptCount val="3"/>
                <c:pt idx="0">
                  <c:v>Test set #1</c:v>
                </c:pt>
                <c:pt idx="1">
                  <c:v>Test set #2</c:v>
                </c:pt>
                <c:pt idx="2">
                  <c:v>Test set #3</c:v>
                </c:pt>
              </c:strCache>
            </c:strRef>
          </c:cat>
          <c:val>
            <c:numRef>
              <c:f>('with_swap-summary'!$I$3,'with_swap-summary'!$I$4,'with_swap-summary'!$I$5)</c:f>
              <c:numCache>
                <c:formatCode>General</c:formatCode>
                <c:ptCount val="3"/>
                <c:pt idx="0">
                  <c:v>3.918594388888889E-3</c:v>
                </c:pt>
                <c:pt idx="1">
                  <c:v>3.2925571428571429E-2</c:v>
                </c:pt>
                <c:pt idx="2">
                  <c:v>2.2466666666666663E-3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47-8F4E-9D57-33AF15215C0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41473184"/>
        <c:axId val="441475888"/>
      </c:barChart>
      <c:catAx>
        <c:axId val="441473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it-IT"/>
          </a:p>
        </c:txPr>
        <c:crossAx val="441475888"/>
        <c:crosses val="autoZero"/>
        <c:auto val="1"/>
        <c:lblAlgn val="ctr"/>
        <c:lblOffset val="100"/>
        <c:noMultiLvlLbl val="0"/>
      </c:catAx>
      <c:valAx>
        <c:axId val="44147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it-IT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it-IT"/>
          </a:p>
        </c:txPr>
        <c:crossAx val="441473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2"/>
          <c:order val="0"/>
          <c:tx>
            <c:strRef>
              <c:f>'with_swap-summary'!$A$5</c:f>
              <c:strCache>
                <c:ptCount val="1"/>
                <c:pt idx="0">
                  <c:v>Test set #3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'with_swap-summary'!$L$2:$O$2</c:f>
              <c:strCache>
                <c:ptCount val="4"/>
                <c:pt idx="0">
                  <c:v>Mission time</c:v>
                </c:pt>
                <c:pt idx="1">
                  <c:v>Cumulative energy used by UAVs</c:v>
                </c:pt>
                <c:pt idx="2">
                  <c:v>No. of BSSes used</c:v>
                </c:pt>
                <c:pt idx="3">
                  <c:v>No. of battery used by UAVs</c:v>
                </c:pt>
              </c:strCache>
            </c:strRef>
          </c:cat>
          <c:val>
            <c:numRef>
              <c:f>'with_swap-summary'!$L$5:$O$5</c:f>
              <c:numCache>
                <c:formatCode>0.0%</c:formatCode>
                <c:ptCount val="4"/>
                <c:pt idx="0">
                  <c:v>9.9999999999999995E-7</c:v>
                </c:pt>
                <c:pt idx="1">
                  <c:v>1.0000000000000001E-5</c:v>
                </c:pt>
                <c:pt idx="2">
                  <c:v>9.9999999999999995E-7</c:v>
                </c:pt>
                <c:pt idx="3">
                  <c:v>9.9999999999999995E-7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0C-7E40-9E5B-779AC406F98B}"/>
            </c:ext>
          </c:extLst>
        </c:ser>
        <c:ser>
          <c:idx val="1"/>
          <c:order val="1"/>
          <c:tx>
            <c:strRef>
              <c:f>'with_swap-summary'!$A$4</c:f>
              <c:strCache>
                <c:ptCount val="1"/>
                <c:pt idx="0">
                  <c:v>Test set #2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 w="9525" cap="flat" cmpd="sng" algn="ctr">
              <a:solidFill>
                <a:schemeClr val="accent4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'with_swap-summary'!$L$2:$O$2</c:f>
              <c:strCache>
                <c:ptCount val="4"/>
                <c:pt idx="0">
                  <c:v>Mission time</c:v>
                </c:pt>
                <c:pt idx="1">
                  <c:v>Cumulative energy used by UAVs</c:v>
                </c:pt>
                <c:pt idx="2">
                  <c:v>No. of BSSes used</c:v>
                </c:pt>
                <c:pt idx="3">
                  <c:v>No. of battery used by UAVs</c:v>
                </c:pt>
              </c:strCache>
            </c:strRef>
          </c:cat>
          <c:val>
            <c:numRef>
              <c:f>'with_swap-summary'!$L$4:$O$4</c:f>
              <c:numCache>
                <c:formatCode>0.0%</c:formatCode>
                <c:ptCount val="4"/>
                <c:pt idx="0">
                  <c:v>9.9999999999999995E-7</c:v>
                </c:pt>
                <c:pt idx="1">
                  <c:v>0.23392812865497081</c:v>
                </c:pt>
                <c:pt idx="2">
                  <c:v>-0.23076823076923078</c:v>
                </c:pt>
                <c:pt idx="3">
                  <c:v>9.9999999999999995E-7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0C-7E40-9E5B-779AC406F98B}"/>
            </c:ext>
          </c:extLst>
        </c:ser>
        <c:ser>
          <c:idx val="0"/>
          <c:order val="2"/>
          <c:tx>
            <c:strRef>
              <c:f>'with_swap-summary'!$A$3</c:f>
              <c:strCache>
                <c:ptCount val="1"/>
                <c:pt idx="0">
                  <c:v>Test set #1</c:v>
                </c:pt>
              </c:strCache>
            </c:strRef>
          </c:tx>
          <c:spPr>
            <a:solidFill>
              <a:srgbClr val="92D050"/>
            </a:solidFill>
            <a:ln w="9525" cap="flat" cmpd="sng" algn="ctr">
              <a:solidFill>
                <a:srgbClr val="00B05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'with_swap-summary'!$L$2:$O$2</c:f>
              <c:strCache>
                <c:ptCount val="4"/>
                <c:pt idx="0">
                  <c:v>Mission time</c:v>
                </c:pt>
                <c:pt idx="1">
                  <c:v>Cumulative energy used by UAVs</c:v>
                </c:pt>
                <c:pt idx="2">
                  <c:v>No. of BSSes used</c:v>
                </c:pt>
                <c:pt idx="3">
                  <c:v>No. of battery used by UAVs</c:v>
                </c:pt>
              </c:strCache>
            </c:strRef>
          </c:cat>
          <c:val>
            <c:numRef>
              <c:f>'with_swap-summary'!$L$3:$O$3</c:f>
              <c:numCache>
                <c:formatCode>0.0%</c:formatCode>
                <c:ptCount val="4"/>
                <c:pt idx="0">
                  <c:v>1.5016015015015058E-2</c:v>
                </c:pt>
                <c:pt idx="1">
                  <c:v>0.14198530864197539</c:v>
                </c:pt>
                <c:pt idx="2">
                  <c:v>9.9999999999999995E-7</c:v>
                </c:pt>
                <c:pt idx="3">
                  <c:v>0.27777877777777765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0C-7E40-9E5B-779AC406F98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55266143"/>
        <c:axId val="2086491568"/>
      </c:barChart>
      <c:catAx>
        <c:axId val="2552661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it-IT"/>
          </a:p>
        </c:txPr>
        <c:crossAx val="2086491568"/>
        <c:crosses val="autoZero"/>
        <c:auto val="1"/>
        <c:lblAlgn val="ctr"/>
        <c:lblOffset val="100"/>
        <c:noMultiLvlLbl val="0"/>
      </c:catAx>
      <c:valAx>
        <c:axId val="2086491568"/>
        <c:scaling>
          <c:orientation val="minMax"/>
          <c:max val="1"/>
          <c:min val="-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it-IT"/>
          </a:p>
        </c:txPr>
        <c:crossAx val="255266143"/>
        <c:crosses val="autoZero"/>
        <c:crossBetween val="between"/>
        <c:majorUnit val="0.2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25400</xdr:colOff>
      <xdr:row>1</xdr:row>
      <xdr:rowOff>19050</xdr:rowOff>
    </xdr:from>
    <xdr:to>
      <xdr:col>17</xdr:col>
      <xdr:colOff>787400</xdr:colOff>
      <xdr:row>14</xdr:row>
      <xdr:rowOff>120650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8D3BFA68-AD92-61E0-A451-15A89B1F48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18</xdr:row>
      <xdr:rowOff>0</xdr:rowOff>
    </xdr:from>
    <xdr:to>
      <xdr:col>17</xdr:col>
      <xdr:colOff>500475</xdr:colOff>
      <xdr:row>31</xdr:row>
      <xdr:rowOff>93447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7F588A3D-6E3B-F74F-94D0-E5A551B331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34</xdr:row>
      <xdr:rowOff>0</xdr:rowOff>
    </xdr:from>
    <xdr:to>
      <xdr:col>17</xdr:col>
      <xdr:colOff>733156</xdr:colOff>
      <xdr:row>47</xdr:row>
      <xdr:rowOff>123125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9F5A2210-71FE-6A48-9F46-7F55884D29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721234</xdr:colOff>
      <xdr:row>18</xdr:row>
      <xdr:rowOff>15679</xdr:rowOff>
    </xdr:from>
    <xdr:to>
      <xdr:col>10</xdr:col>
      <xdr:colOff>505491</xdr:colOff>
      <xdr:row>31</xdr:row>
      <xdr:rowOff>109126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B5A4421F-8293-E04C-B949-5C3E40D76C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25400</xdr:colOff>
      <xdr:row>1</xdr:row>
      <xdr:rowOff>19050</xdr:rowOff>
    </xdr:from>
    <xdr:to>
      <xdr:col>27</xdr:col>
      <xdr:colOff>787400</xdr:colOff>
      <xdr:row>14</xdr:row>
      <xdr:rowOff>120650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304B6510-993E-4340-A580-0F9CC9A008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0</xdr:colOff>
      <xdr:row>18</xdr:row>
      <xdr:rowOff>0</xdr:rowOff>
    </xdr:from>
    <xdr:to>
      <xdr:col>27</xdr:col>
      <xdr:colOff>762000</xdr:colOff>
      <xdr:row>31</xdr:row>
      <xdr:rowOff>101600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7E40D69A-9A74-1246-930F-0EE64C4D47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0</xdr:colOff>
      <xdr:row>35</xdr:row>
      <xdr:rowOff>0</xdr:rowOff>
    </xdr:from>
    <xdr:to>
      <xdr:col>29</xdr:col>
      <xdr:colOff>96520</xdr:colOff>
      <xdr:row>48</xdr:row>
      <xdr:rowOff>132080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23D480BD-A967-B746-AB1F-D1CB77ECC9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25400</xdr:colOff>
      <xdr:row>1</xdr:row>
      <xdr:rowOff>19050</xdr:rowOff>
    </xdr:from>
    <xdr:to>
      <xdr:col>27</xdr:col>
      <xdr:colOff>787400</xdr:colOff>
      <xdr:row>21</xdr:row>
      <xdr:rowOff>120650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F4CF0EBB-6257-3F40-ACA3-CA405F682B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0</xdr:colOff>
      <xdr:row>25</xdr:row>
      <xdr:rowOff>0</xdr:rowOff>
    </xdr:from>
    <xdr:to>
      <xdr:col>27</xdr:col>
      <xdr:colOff>762000</xdr:colOff>
      <xdr:row>38</xdr:row>
      <xdr:rowOff>101600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27F6B7E7-FB78-E944-AF29-03DE10D59E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0</xdr:colOff>
      <xdr:row>42</xdr:row>
      <xdr:rowOff>0</xdr:rowOff>
    </xdr:from>
    <xdr:to>
      <xdr:col>29</xdr:col>
      <xdr:colOff>96520</xdr:colOff>
      <xdr:row>55</xdr:row>
      <xdr:rowOff>132080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358F6685-024C-4D4E-AD5B-7E48AD712C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25400</xdr:colOff>
      <xdr:row>1</xdr:row>
      <xdr:rowOff>19050</xdr:rowOff>
    </xdr:from>
    <xdr:to>
      <xdr:col>27</xdr:col>
      <xdr:colOff>787400</xdr:colOff>
      <xdr:row>14</xdr:row>
      <xdr:rowOff>120650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7E752E0-3240-9D4E-937B-833434E612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0</xdr:colOff>
      <xdr:row>18</xdr:row>
      <xdr:rowOff>0</xdr:rowOff>
    </xdr:from>
    <xdr:to>
      <xdr:col>27</xdr:col>
      <xdr:colOff>762000</xdr:colOff>
      <xdr:row>31</xdr:row>
      <xdr:rowOff>101600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9C532B73-9C8E-A348-8D76-711B8C6969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0</xdr:colOff>
      <xdr:row>35</xdr:row>
      <xdr:rowOff>0</xdr:rowOff>
    </xdr:from>
    <xdr:to>
      <xdr:col>29</xdr:col>
      <xdr:colOff>96520</xdr:colOff>
      <xdr:row>48</xdr:row>
      <xdr:rowOff>132080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952A0962-B401-FC44-B581-352D12D4AF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1442432</xdr:colOff>
      <xdr:row>11</xdr:row>
      <xdr:rowOff>63612</xdr:rowOff>
    </xdr:from>
    <xdr:to>
      <xdr:col>8</xdr:col>
      <xdr:colOff>1070850</xdr:colOff>
      <xdr:row>38</xdr:row>
      <xdr:rowOff>63612</xdr:rowOff>
    </xdr:to>
    <xdr:graphicFrame macro="">
      <xdr:nvGraphicFramePr>
        <xdr:cNvPr id="10" name="Grafico 9">
          <a:extLst>
            <a:ext uri="{FF2B5EF4-FFF2-40B4-BE49-F238E27FC236}">
              <a16:creationId xmlns:a16="http://schemas.microsoft.com/office/drawing/2014/main" id="{306141D1-0E28-902F-8EB9-1B8279506D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1246405</xdr:colOff>
      <xdr:row>44</xdr:row>
      <xdr:rowOff>38379</xdr:rowOff>
    </xdr:from>
    <xdr:to>
      <xdr:col>14</xdr:col>
      <xdr:colOff>709210</xdr:colOff>
      <xdr:row>66</xdr:row>
      <xdr:rowOff>54945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3573FC47-9AE0-EB9E-2159-DD7FB469B8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675956</xdr:colOff>
      <xdr:row>44</xdr:row>
      <xdr:rowOff>30913</xdr:rowOff>
    </xdr:from>
    <xdr:to>
      <xdr:col>10</xdr:col>
      <xdr:colOff>980756</xdr:colOff>
      <xdr:row>66</xdr:row>
      <xdr:rowOff>47479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6E95F1E3-BB21-ED42-9925-E0E63E9759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C5E3B8-40BA-0C48-A11F-AC564BDE9AB5}" name="Tabella1" displayName="Tabella1" ref="A2:J6" totalsRowShown="0">
  <autoFilter ref="A2:J6" xr:uid="{00C5E3B8-40BA-0C48-A11F-AC564BDE9AB5}"/>
  <sortState xmlns:xlrd2="http://schemas.microsoft.com/office/spreadsheetml/2017/richdata2" ref="A3:G6">
    <sortCondition ref="A2:A6"/>
  </sortState>
  <tableColumns count="10">
    <tableColumn id="1" xr3:uid="{956922F6-6C15-BC46-B084-4DC30FD58F09}" name="Depositi"/>
    <tableColumn id="2" xr3:uid="{8133E026-8E29-954C-8582-3F59B76A1059}" name="Misson time OPT"/>
    <tableColumn id="3" xr3:uid="{1622DDD1-133B-B742-A7EA-27AEC04FDE2A}" name="Cumulative energy OPT"/>
    <tableColumn id="4" xr3:uid="{DAEB35E2-9D04-8146-BE68-7F47A6A78B1D}" name="Execution Time OPT"/>
    <tableColumn id="5" xr3:uid="{D1847F41-5CFF-8049-B897-60CAC4DE1959}" name="Misson time H"/>
    <tableColumn id="6" xr3:uid="{01C1A73D-F8A4-494A-8A7E-661988BD40E9}" name="Cumulative energy H"/>
    <tableColumn id="7" xr3:uid="{E50A8DD6-B4B1-7F42-8239-80A62F95E043}" name="Execution Time H"/>
    <tableColumn id="8" xr3:uid="{B6C91079-30CD-EF40-9ACF-15811A27EC5B}" name="Mission time" dataDxfId="2" dataCellStyle="Percentuale">
      <calculatedColumnFormula>(Tabella1[[#This Row],[Misson time H]]-Tabella1[[#This Row],[Misson time OPT]])/Tabella1[[#This Row],[Misson time OPT]]+0.0001</calculatedColumnFormula>
    </tableColumn>
    <tableColumn id="9" xr3:uid="{B0FCB8D1-E63B-B349-87BE-3A06793685D9}" name="Cumulative energy used by UAVs" dataDxfId="0" dataCellStyle="Percentuale">
      <calculatedColumnFormula>(Tabella1[[#This Row],[Cumulative energy H]]-Tabella1[[#This Row],[Cumulative energy OPT]])/Tabella1[[#This Row],[Cumulative energy OPT]]+0.0000001</calculatedColumnFormula>
    </tableColumn>
    <tableColumn id="10" xr3:uid="{ADDD21CD-D4E8-E449-8270-FB862990C13D}" name="Execution Time" dataDxfId="1" dataCellStyle="Percentuale">
      <calculatedColumnFormula>(Tabella1[[#This Row],[Execution Time H]]-Tabella1[[#This Row],[Execution Time OPT]])/Tabella1[[#This Row],[Execution Time OPT]]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5D0DFC-FA27-6A45-82D7-E56A01F996E1}" name="Tabella13" displayName="Tabella13" ref="A2:Q11" totalsRowShown="0" headerRowDxfId="78" dataDxfId="77">
  <autoFilter ref="A2:Q11" xr:uid="{00C5E3B8-40BA-0C48-A11F-AC564BDE9AB5}"/>
  <sortState xmlns:xlrd2="http://schemas.microsoft.com/office/spreadsheetml/2017/richdata2" ref="A3:Q11">
    <sortCondition ref="A2:A11"/>
  </sortState>
  <tableColumns count="17">
    <tableColumn id="1" xr3:uid="{E4F81E74-7062-F14F-A1D7-ADD43A5CBC08}" name="scenario" dataDxfId="76"/>
    <tableColumn id="2" xr3:uid="{A21A2C7E-92AB-964D-9A54-6176A074985F}" name="Misson time OPT" dataDxfId="75"/>
    <tableColumn id="3" xr3:uid="{CCD9C6D3-244F-794B-8A75-408D13719898}" name="Cumulative energy OPT" dataDxfId="74"/>
    <tableColumn id="4" xr3:uid="{1EBF24C6-4EA7-654F-B0A7-EEB7C6697B8E}" name="Execution Time OPT" dataDxfId="73">
      <calculatedColumnFormula>SUM(Tabella13[[#This Row],[UAV solver time]:[BSS solver time]])</calculatedColumnFormula>
    </tableColumn>
    <tableColumn id="9" xr3:uid="{8C41FEAA-A9A1-5349-B6AB-0D2A92F417ED}" name="O BSS used " dataDxfId="72"/>
    <tableColumn id="12" xr3:uid="{15420AEB-EFDB-904C-BFC6-E161C8925B44}" name="O Batteries used" dataDxfId="71"/>
    <tableColumn id="14" xr3:uid="{7007152A-108E-D149-B2F2-5EF2733D26CF}" name="UAV solver time" dataDxfId="70"/>
    <tableColumn id="15" xr3:uid="{CF15B384-C71D-234F-84F5-4010016C6E78}" name="BSS solver time" dataDxfId="69"/>
    <tableColumn id="5" xr3:uid="{6D50B661-5B00-1F49-8A1B-DE66CD364094}" name="Misson time H" dataDxfId="68"/>
    <tableColumn id="6" xr3:uid="{F18FFC28-D2D9-2C45-BE63-A3103EED2A1A}" name="Cumulative energy H" dataDxfId="67"/>
    <tableColumn id="7" xr3:uid="{C35C110B-CBF7-8848-A9D7-E7C40357523E}" name="Execution Time H" dataDxfId="66">
      <calculatedColumnFormula>SUM(Tabella13[[#This Row],[DARP time]:[PP BSS time]])</calculatedColumnFormula>
    </tableColumn>
    <tableColumn id="11" xr3:uid="{DE524214-7ACB-1C4E-B531-00701DD2252A}" name="H BSS Used" dataDxfId="65"/>
    <tableColumn id="13" xr3:uid="{8FAF707B-3A25-0242-850A-BE24A2C9074B}" name="H Batteries used" dataDxfId="64"/>
    <tableColumn id="17" xr3:uid="{78ADFCA6-8BE4-5F42-B24D-6B3F2C755163}" name="DARP time" dataDxfId="63"/>
    <tableColumn id="18" xr3:uid="{5A08DC20-6DB6-0D47-B964-497E3F7462BE}" name="STC time" dataDxfId="62"/>
    <tableColumn id="19" xr3:uid="{93B8807F-B310-944A-A09B-D51B65BE07DD}" name="PP UAV time" dataDxfId="61"/>
    <tableColumn id="20" xr3:uid="{737D4D90-3FBC-524F-9B60-5101F23D5C46}" name="PP BSS time" dataDxfId="60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D609675-4779-1142-BE46-B62AD5D00978}" name="Tabella1345" displayName="Tabella1345" ref="A2:Q9" totalsRowShown="0" headerRowDxfId="59" dataDxfId="58">
  <autoFilter ref="A2:Q9" xr:uid="{00C5E3B8-40BA-0C48-A11F-AC564BDE9AB5}"/>
  <sortState xmlns:xlrd2="http://schemas.microsoft.com/office/spreadsheetml/2017/richdata2" ref="A3:Q9">
    <sortCondition ref="A2:A9"/>
  </sortState>
  <tableColumns count="17">
    <tableColumn id="1" xr3:uid="{8D9769F3-A1C1-7A48-8ADC-F622EB1ED480}" name="scenario" dataDxfId="57"/>
    <tableColumn id="2" xr3:uid="{57589062-A9EF-7740-8922-EB99DE1EBDB8}" name="Misson time OPT" dataDxfId="56"/>
    <tableColumn id="3" xr3:uid="{D33377B2-EC73-D04C-82AA-6326DB5DD1F2}" name="Cumulative energy OPT" dataDxfId="55"/>
    <tableColumn id="4" xr3:uid="{590D30C7-8E67-DA44-A98A-68C528A2D725}" name="Execution Time OPT" dataDxfId="54">
      <calculatedColumnFormula>SUM(Tabella1345[[#This Row],[UAV solver time]:[BSS solver time]])</calculatedColumnFormula>
    </tableColumn>
    <tableColumn id="9" xr3:uid="{7473F63F-DBDD-6749-943D-B023081C1F0D}" name="O BSS used " dataDxfId="53"/>
    <tableColumn id="12" xr3:uid="{6750A5F1-EC41-7D41-82DE-F0FAD5D29887}" name="O Batteries used" dataDxfId="52"/>
    <tableColumn id="14" xr3:uid="{BD5CCDCA-F5EC-824F-B7AA-44075E82E1C6}" name="UAV solver time" dataDxfId="51"/>
    <tableColumn id="15" xr3:uid="{6B9D068F-8216-B84F-AFDF-B7B4D3D2449B}" name="BSS solver time" dataDxfId="50"/>
    <tableColumn id="5" xr3:uid="{7F4A4E9C-04DC-A940-BC6C-D6FB468328FA}" name="Misson time H" dataDxfId="49"/>
    <tableColumn id="6" xr3:uid="{47C04D86-DE09-B842-856D-F65688BAD5E7}" name="Cumulative energy H" dataDxfId="48"/>
    <tableColumn id="7" xr3:uid="{458D9188-37B4-964E-B524-BBD43B94FA21}" name="Execution Time H" dataDxfId="47">
      <calculatedColumnFormula>SUM(Tabella1345[[#This Row],[DARP time]:[PP BSS time]])</calculatedColumnFormula>
    </tableColumn>
    <tableColumn id="11" xr3:uid="{443E91E1-33FB-B94A-93D9-EB7CBA969789}" name="H BSS Used" dataDxfId="46"/>
    <tableColumn id="13" xr3:uid="{779A3F85-3528-F449-85D2-F408036DABAB}" name="H Batteries used" dataDxfId="45"/>
    <tableColumn id="17" xr3:uid="{251F3B39-BA56-FE4E-9B01-1C9200507BD6}" name="DARP time" dataDxfId="44"/>
    <tableColumn id="18" xr3:uid="{44EAD809-8281-7F41-B1B6-F90DB510BF18}" name="STC time" dataDxfId="43"/>
    <tableColumn id="19" xr3:uid="{39E78D88-6F79-9C4A-9E1C-930618E1A2F3}" name="PP UAV time" dataDxfId="42"/>
    <tableColumn id="20" xr3:uid="{FE692F5D-458A-5240-B32A-28CEA0C8DBC7}" name="PP BSS time" dataDxfId="41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4AB0245-3733-4945-AA65-54122BBF2347}" name="Tabella134" displayName="Tabella134" ref="A2:Q5" totalsRowShown="0" headerRowDxfId="40" dataDxfId="39">
  <autoFilter ref="A2:Q5" xr:uid="{00C5E3B8-40BA-0C48-A11F-AC564BDE9AB5}"/>
  <sortState xmlns:xlrd2="http://schemas.microsoft.com/office/spreadsheetml/2017/richdata2" ref="A3:Q5">
    <sortCondition ref="A2:A5"/>
  </sortState>
  <tableColumns count="17">
    <tableColumn id="1" xr3:uid="{C10AB06D-7600-FB48-BC72-1FA8CAB667B9}" name="scenario" dataDxfId="38"/>
    <tableColumn id="2" xr3:uid="{6374F620-D91A-8941-9EE5-7D5F392FFD3E}" name="Misson time OPT" dataDxfId="37"/>
    <tableColumn id="3" xr3:uid="{E07ACB58-7EB2-CD4B-999E-BDB26D936A8D}" name="Cumulative energy OPT" dataDxfId="36"/>
    <tableColumn id="4" xr3:uid="{622E1652-B675-4648-8B00-99C8DE06ACFB}" name="Execution Time OPT" dataDxfId="35">
      <calculatedColumnFormula>SUM(Tabella134[[#This Row],[UAV solver time]:[BSS solver time]])</calculatedColumnFormula>
    </tableColumn>
    <tableColumn id="9" xr3:uid="{87F9FABB-C6A9-1740-AA23-AC6197A70E4A}" name="O BSS used " dataDxfId="34"/>
    <tableColumn id="12" xr3:uid="{C62C6795-08CF-CE4D-9D06-37EABEA439F8}" name="O Batteries used" dataDxfId="33"/>
    <tableColumn id="14" xr3:uid="{1BE8612F-F671-4645-ADB4-E26B47D34786}" name="UAV solver time" dataDxfId="32"/>
    <tableColumn id="15" xr3:uid="{725AC1A4-8CC1-A34C-AC8E-953C3FD87563}" name="BSS solver time" dataDxfId="31"/>
    <tableColumn id="5" xr3:uid="{34B1E6AE-FDFB-A649-8BD7-E0F2B7BFE397}" name="Misson time H" dataDxfId="30"/>
    <tableColumn id="6" xr3:uid="{55EF4798-CF1C-7341-B8A7-8A461DA308EB}" name="Cumulative energy H" dataDxfId="29"/>
    <tableColumn id="7" xr3:uid="{B292A9AC-F3C5-7B4B-AB69-101AEFAA91B4}" name="Execution Time H" dataDxfId="28">
      <calculatedColumnFormula>SUM(Tabella134[[#This Row],[DARP time]:[PP BSS time]])</calculatedColumnFormula>
    </tableColumn>
    <tableColumn id="11" xr3:uid="{2DC6CC31-417C-0746-89BC-EB7A5436867B}" name="H BSS Used" dataDxfId="27"/>
    <tableColumn id="13" xr3:uid="{0ABAA0F7-409F-C341-89BC-987324AB0CA6}" name="H Batteries used" dataDxfId="26"/>
    <tableColumn id="17" xr3:uid="{52A7033E-A45D-4341-A154-73CA6F1FADA5}" name="DARP time" dataDxfId="25"/>
    <tableColumn id="18" xr3:uid="{71BECEAE-22F5-BC40-ABCD-11495A02EBE6}" name="STC time" dataDxfId="24"/>
    <tableColumn id="19" xr3:uid="{16CD0FAF-50D7-384C-8F52-101A20543F53}" name="PP UAV time" dataDxfId="23"/>
    <tableColumn id="20" xr3:uid="{2B50D176-A732-7741-81CC-AC5A99653C07}" name="PP BSS time" dataDxfId="22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6D4EAF5-8FED-0B4B-8228-4C94D229A701}" name="Tabella5" displayName="Tabella5" ref="A2:P5" totalsRowShown="0" headerRowDxfId="21" dataDxfId="20" tableBorderDxfId="19">
  <autoFilter ref="A2:P5" xr:uid="{76D4EAF5-8FED-0B4B-8228-4C94D229A701}"/>
  <tableColumns count="16">
    <tableColumn id="1" xr3:uid="{32DE14B0-6E39-6D45-8EC4-2201ECC11A50}" name="scenario" dataDxfId="18"/>
    <tableColumn id="2" xr3:uid="{56E7C106-DC88-8246-9B28-E40AF06B3177}" name="Misson time OPT" dataDxfId="17">
      <calculatedColumnFormula>'with_swap-22%bsp-1depot'!B13</calculatedColumnFormula>
    </tableColumn>
    <tableColumn id="3" xr3:uid="{3F93D636-D5C2-FB4E-AE18-1EDED5252DB2}" name="Cumulative energy OPT" dataDxfId="16">
      <calculatedColumnFormula>'with_swap-22%bsp-1depot'!C13</calculatedColumnFormula>
    </tableColumn>
    <tableColumn id="4" xr3:uid="{1A8B9A85-5F82-044C-99B9-2F70B4109CC3}" name="Execution Time OPT" dataDxfId="15">
      <calculatedColumnFormula>'with_swap-22%bsp-1depot'!D13</calculatedColumnFormula>
    </tableColumn>
    <tableColumn id="5" xr3:uid="{C052E0BF-2131-E04C-9F27-42533AF64D8C}" name="O BSS used " dataDxfId="14">
      <calculatedColumnFormula>'with_swap-22%bsp-1depot'!E13</calculatedColumnFormula>
    </tableColumn>
    <tableColumn id="6" xr3:uid="{E6CF5F33-DAB2-2243-B89A-A4FAA40E9DAA}" name="O Batteries used" dataDxfId="13">
      <calculatedColumnFormula>'with_swap-22%bsp-1depot'!E13</calculatedColumnFormula>
    </tableColumn>
    <tableColumn id="9" xr3:uid="{B070C7A2-5980-D044-ACE3-0FBCFADEA177}" name="Misson time H" dataDxfId="12">
      <calculatedColumnFormula>'with_swap-22%bsp-1depot'!I13</calculatedColumnFormula>
    </tableColumn>
    <tableColumn id="10" xr3:uid="{19125521-A9A5-E849-8412-E78BFD673F84}" name="Cumulative energy H" dataDxfId="11">
      <calculatedColumnFormula>'with_swap-22%bsp-1depot'!J13</calculatedColumnFormula>
    </tableColumn>
    <tableColumn id="11" xr3:uid="{4360664F-1D07-304F-8CB0-4A037826E9EF}" name="Execution Time H" dataDxfId="10">
      <calculatedColumnFormula>'with_swap-22%bsp-1depot'!K13</calculatedColumnFormula>
    </tableColumn>
    <tableColumn id="12" xr3:uid="{4532AD11-50DD-7F4F-BA4F-539D0B703658}" name="H BSS Used" dataDxfId="9">
      <calculatedColumnFormula>'with_swap-22%bsp-1depot'!L13</calculatedColumnFormula>
    </tableColumn>
    <tableColumn id="13" xr3:uid="{E22498E9-88FA-454C-8899-C512BCA81840}" name="H Batteries used" dataDxfId="8">
      <calculatedColumnFormula>'with_swap-22%bsp-1depot'!M13</calculatedColumnFormula>
    </tableColumn>
    <tableColumn id="18" xr3:uid="{EFA403A9-88DF-8649-A369-3BE8DACED6D2}" name="Mission time" dataDxfId="7" dataCellStyle="Percentuale">
      <calculatedColumnFormula>(Tabella5[[#This Row],[Misson time H]]-Tabella5[[#This Row],[Misson time OPT]])/Tabella5[[#This Row],[Misson time OPT]]+0.000001</calculatedColumnFormula>
    </tableColumn>
    <tableColumn id="19" xr3:uid="{6E95456B-6D9F-544D-9B57-155B0DA6D8CD}" name="Cumulative energy used by UAVs" dataDxfId="6">
      <calculatedColumnFormula>(Tabella5[[#This Row],[Cumulative energy H]]-Tabella5[[#This Row],[Cumulative energy OPT]])/Tabella5[[#This Row],[Cumulative energy OPT]]+0.00001</calculatedColumnFormula>
    </tableColumn>
    <tableColumn id="21" xr3:uid="{7CAC10F6-5458-664C-B013-FD61B3E3F64D}" name="No. of BSSes used" dataDxfId="5">
      <calculatedColumnFormula>(Tabella5[[#This Row],[H BSS Used]]-Tabella5[[#This Row],[O BSS used ]])/Tabella5[[#This Row],[O BSS used ]]+0.000001</calculatedColumnFormula>
    </tableColumn>
    <tableColumn id="22" xr3:uid="{D37C4B20-F4B6-DB40-98D8-6B77459C1D78}" name="No. of battery used by UAVs" dataDxfId="4">
      <calculatedColumnFormula>(Tabella5[[#This Row],[H Batteries used]]-Tabella5[[#This Row],[O Batteries used]])/Tabella5[[#This Row],[O Batteries used]]+0.000001</calculatedColumnFormula>
    </tableColumn>
    <tableColumn id="20" xr3:uid="{69E3792B-5C1C-2E46-83A4-378C4DE30C50}" name="Execution time" dataDxfId="3">
      <calculatedColumnFormula>(Tabella5[[#This Row],[Execution Time H]]-Tabella5[[#This Row],[Execution Time OPT]])/Tabella5[[#This Row],[Execution Time OPT]]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7C3F8-FB7B-BA4F-8162-2059DA408B3E}">
  <sheetPr codeName="Foglio1"/>
  <dimension ref="A1:M49"/>
  <sheetViews>
    <sheetView tabSelected="1" topLeftCell="E1" zoomScale="88" workbookViewId="0">
      <selection activeCell="I4" sqref="I4"/>
    </sheetView>
  </sheetViews>
  <sheetFormatPr baseColWidth="10" defaultRowHeight="16" x14ac:dyDescent="0.2"/>
  <cols>
    <col min="1" max="1" width="14.6640625" customWidth="1"/>
    <col min="2" max="2" width="13.6640625" customWidth="1"/>
    <col min="3" max="3" width="18.6640625" customWidth="1"/>
    <col min="4" max="4" width="16" customWidth="1"/>
    <col min="5" max="5" width="14.6640625" customWidth="1"/>
    <col min="6" max="6" width="19.6640625" customWidth="1"/>
    <col min="7" max="7" width="17" customWidth="1"/>
    <col min="8" max="8" width="14.33203125" bestFit="1" customWidth="1"/>
    <col min="9" max="9" width="19.33203125" bestFit="1" customWidth="1"/>
    <col min="10" max="10" width="16.33203125" bestFit="1" customWidth="1"/>
  </cols>
  <sheetData>
    <row r="1" spans="1:12" x14ac:dyDescent="0.2">
      <c r="B1" s="24" t="s">
        <v>55</v>
      </c>
      <c r="C1" s="24"/>
      <c r="D1" s="24"/>
      <c r="E1" s="25" t="s">
        <v>56</v>
      </c>
      <c r="F1" s="25"/>
      <c r="G1" s="25"/>
    </row>
    <row r="2" spans="1:12" x14ac:dyDescent="0.2">
      <c r="A2" t="s">
        <v>0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9</v>
      </c>
      <c r="I2" t="s">
        <v>58</v>
      </c>
      <c r="J2" s="15" t="s">
        <v>50</v>
      </c>
    </row>
    <row r="3" spans="1:12" x14ac:dyDescent="0.2">
      <c r="A3" t="s">
        <v>51</v>
      </c>
      <c r="B3">
        <v>36</v>
      </c>
      <c r="C3">
        <v>36</v>
      </c>
      <c r="D3">
        <v>0.93629812499999998</v>
      </c>
      <c r="E3">
        <v>36</v>
      </c>
      <c r="F3">
        <v>36</v>
      </c>
      <c r="G3" s="1">
        <v>8.5635419000000008E-3</v>
      </c>
      <c r="H3" s="30">
        <f>(Tabella1[[#This Row],[Misson time H]]-Tabella1[[#This Row],[Misson time OPT]])/Tabella1[[#This Row],[Misson time OPT]]+0.0001</f>
        <v>1E-4</v>
      </c>
      <c r="I3" s="30">
        <f>(Tabella1[[#This Row],[Cumulative energy H]]-Tabella1[[#This Row],[Cumulative energy OPT]])/Tabella1[[#This Row],[Cumulative energy OPT]]+0.0000001</f>
        <v>9.9999999999999995E-8</v>
      </c>
      <c r="J3" s="19">
        <f>(Tabella1[[#This Row],[Execution Time H]]-Tabella1[[#This Row],[Execution Time OPT]])/Tabella1[[#This Row],[Execution Time OPT]]</f>
        <v>-0.99085382991661985</v>
      </c>
    </row>
    <row r="4" spans="1:12" x14ac:dyDescent="0.2">
      <c r="A4" t="s">
        <v>52</v>
      </c>
      <c r="B4">
        <v>18</v>
      </c>
      <c r="C4">
        <v>36</v>
      </c>
      <c r="D4">
        <v>5.6093122910000002</v>
      </c>
      <c r="E4">
        <v>20</v>
      </c>
      <c r="F4">
        <v>36</v>
      </c>
      <c r="G4" s="1">
        <v>1.87379791E-2</v>
      </c>
      <c r="H4" s="30">
        <f>(Tabella1[[#This Row],[Misson time H]]-Tabella1[[#This Row],[Misson time OPT]])/Tabella1[[#This Row],[Misson time OPT]]+0.0001</f>
        <v>0.11121111111111111</v>
      </c>
      <c r="I4" s="30">
        <f>(Tabella1[[#This Row],[Cumulative energy H]]-Tabella1[[#This Row],[Cumulative energy OPT]])/Tabella1[[#This Row],[Cumulative energy OPT]]+0.0000001</f>
        <v>9.9999999999999995E-8</v>
      </c>
      <c r="J4" s="19">
        <f>(Tabella1[[#This Row],[Execution Time H]]-Tabella1[[#This Row],[Execution Time OPT]])/Tabella1[[#This Row],[Execution Time OPT]]</f>
        <v>-0.99665948727260834</v>
      </c>
    </row>
    <row r="5" spans="1:12" x14ac:dyDescent="0.2">
      <c r="A5" t="s">
        <v>53</v>
      </c>
      <c r="B5">
        <v>12</v>
      </c>
      <c r="C5">
        <v>36</v>
      </c>
      <c r="D5">
        <v>71.465657915999998</v>
      </c>
      <c r="E5">
        <v>12</v>
      </c>
      <c r="F5">
        <v>36</v>
      </c>
      <c r="G5" s="1">
        <v>2.5767941699999901E-2</v>
      </c>
      <c r="H5" s="30">
        <f>(Tabella1[[#This Row],[Misson time H]]-Tabella1[[#This Row],[Misson time OPT]])/Tabella1[[#This Row],[Misson time OPT]]+0.0001</f>
        <v>1E-4</v>
      </c>
      <c r="I5" s="30">
        <f>(Tabella1[[#This Row],[Cumulative energy H]]-Tabella1[[#This Row],[Cumulative energy OPT]])/Tabella1[[#This Row],[Cumulative energy OPT]]+0.0000001</f>
        <v>9.9999999999999995E-8</v>
      </c>
      <c r="J5" s="19">
        <f>(Tabella1[[#This Row],[Execution Time H]]-Tabella1[[#This Row],[Execution Time OPT]])/Tabella1[[#This Row],[Execution Time OPT]]</f>
        <v>-0.99963943602491867</v>
      </c>
    </row>
    <row r="6" spans="1:12" x14ac:dyDescent="0.2">
      <c r="A6" t="s">
        <v>54</v>
      </c>
      <c r="B6">
        <v>10</v>
      </c>
      <c r="C6">
        <v>36</v>
      </c>
      <c r="D6">
        <v>1090.485851958</v>
      </c>
      <c r="E6">
        <v>12</v>
      </c>
      <c r="F6">
        <v>36</v>
      </c>
      <c r="G6" s="1">
        <v>1.11325289999999E-2</v>
      </c>
      <c r="H6" s="30">
        <f>(Tabella1[[#This Row],[Misson time H]]-Tabella1[[#This Row],[Misson time OPT]])/Tabella1[[#This Row],[Misson time OPT]]+0.0001</f>
        <v>0.2001</v>
      </c>
      <c r="I6" s="30">
        <f>(Tabella1[[#This Row],[Cumulative energy H]]-Tabella1[[#This Row],[Cumulative energy OPT]])/Tabella1[[#This Row],[Cumulative energy OPT]]+0.0000001</f>
        <v>9.9999999999999995E-8</v>
      </c>
      <c r="J6" s="19">
        <f>(Tabella1[[#This Row],[Execution Time H]]-Tabella1[[#This Row],[Execution Time OPT]])/Tabella1[[#This Row],[Execution Time OPT]]</f>
        <v>-0.99998979122105991</v>
      </c>
    </row>
    <row r="7" spans="1:12" x14ac:dyDescent="0.2">
      <c r="G7" s="1"/>
    </row>
    <row r="16" spans="1:12" ht="18" x14ac:dyDescent="0.2">
      <c r="L16" s="2" t="s">
        <v>9</v>
      </c>
    </row>
    <row r="33" spans="13:13" ht="18" x14ac:dyDescent="0.2">
      <c r="M33" s="2" t="s">
        <v>8</v>
      </c>
    </row>
    <row r="49" spans="12:12" ht="18" x14ac:dyDescent="0.2">
      <c r="L49" s="3" t="s">
        <v>1</v>
      </c>
    </row>
  </sheetData>
  <mergeCells count="2">
    <mergeCell ref="B1:D1"/>
    <mergeCell ref="E1:G1"/>
  </mergeCells>
  <phoneticPr fontId="4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BDA4B-BD42-2347-AC11-0985B2F1CAF6}">
  <sheetPr codeName="Foglio2"/>
  <dimension ref="A1:W50"/>
  <sheetViews>
    <sheetView topLeftCell="I2" zoomScale="50" workbookViewId="0">
      <selection activeCell="N3" sqref="N3"/>
    </sheetView>
  </sheetViews>
  <sheetFormatPr baseColWidth="10" defaultRowHeight="16" x14ac:dyDescent="0.2"/>
  <cols>
    <col min="1" max="1" width="21.83203125" bestFit="1" customWidth="1"/>
    <col min="2" max="2" width="17.6640625" bestFit="1" customWidth="1"/>
    <col min="3" max="3" width="23.1640625" bestFit="1" customWidth="1"/>
    <col min="4" max="4" width="20.33203125" bestFit="1" customWidth="1"/>
    <col min="5" max="8" width="20.33203125" customWidth="1"/>
    <col min="9" max="9" width="15.6640625" bestFit="1" customWidth="1"/>
    <col min="10" max="10" width="21.1640625" bestFit="1" customWidth="1"/>
    <col min="11" max="11" width="18.1640625" bestFit="1" customWidth="1"/>
    <col min="12" max="12" width="18.1640625" customWidth="1"/>
    <col min="13" max="13" width="18" bestFit="1" customWidth="1"/>
    <col min="14" max="14" width="12.6640625" bestFit="1" customWidth="1"/>
    <col min="15" max="15" width="11" bestFit="1" customWidth="1"/>
    <col min="16" max="16" width="14.1640625" bestFit="1" customWidth="1"/>
    <col min="17" max="17" width="13.6640625" bestFit="1" customWidth="1"/>
  </cols>
  <sheetData>
    <row r="1" spans="1:22" x14ac:dyDescent="0.2">
      <c r="A1" s="4" t="s">
        <v>12</v>
      </c>
      <c r="B1" s="26" t="s">
        <v>11</v>
      </c>
      <c r="C1" s="26"/>
      <c r="D1" s="26"/>
      <c r="E1" s="5"/>
      <c r="F1" s="5"/>
      <c r="G1" s="5"/>
      <c r="H1" s="5"/>
      <c r="I1" s="25" t="s">
        <v>10</v>
      </c>
      <c r="J1" s="25"/>
      <c r="K1" s="25"/>
      <c r="L1" s="25"/>
      <c r="M1" s="25"/>
      <c r="N1" s="25"/>
      <c r="O1" s="25"/>
      <c r="P1" s="25"/>
      <c r="Q1" s="25"/>
    </row>
    <row r="2" spans="1:22" x14ac:dyDescent="0.2">
      <c r="A2" t="s">
        <v>13</v>
      </c>
      <c r="B2" t="s">
        <v>2</v>
      </c>
      <c r="C2" t="s">
        <v>3</v>
      </c>
      <c r="D2" t="s">
        <v>4</v>
      </c>
      <c r="E2" t="s">
        <v>14</v>
      </c>
      <c r="F2" t="s">
        <v>16</v>
      </c>
      <c r="G2" t="s">
        <v>18</v>
      </c>
      <c r="H2" t="s">
        <v>19</v>
      </c>
      <c r="I2" t="s">
        <v>5</v>
      </c>
      <c r="J2" t="s">
        <v>6</v>
      </c>
      <c r="K2" t="s">
        <v>7</v>
      </c>
      <c r="L2" t="s">
        <v>15</v>
      </c>
      <c r="M2" t="s">
        <v>17</v>
      </c>
      <c r="N2" t="s">
        <v>20</v>
      </c>
      <c r="O2" t="s">
        <v>21</v>
      </c>
      <c r="P2" t="s">
        <v>22</v>
      </c>
      <c r="Q2" t="s">
        <v>23</v>
      </c>
    </row>
    <row r="3" spans="1:22" x14ac:dyDescent="0.2">
      <c r="A3" s="6" t="s">
        <v>25</v>
      </c>
      <c r="B3" s="6">
        <v>37</v>
      </c>
      <c r="C3" s="6">
        <v>36</v>
      </c>
      <c r="D3" s="7">
        <f>SUM(Tabella13[[#This Row],[UAV solver time]:[BSS solver time]])</f>
        <v>50.766943875000003</v>
      </c>
      <c r="E3" s="6">
        <v>1</v>
      </c>
      <c r="F3" s="6">
        <v>2</v>
      </c>
      <c r="G3" s="8">
        <v>50.755986167000003</v>
      </c>
      <c r="H3" s="8">
        <v>1.09577079999994E-2</v>
      </c>
      <c r="I3" s="6">
        <v>37</v>
      </c>
      <c r="J3" s="6">
        <v>36</v>
      </c>
      <c r="K3" s="10">
        <f>SUM(Tabella13[[#This Row],[DARP time]:[PP BSS time]])</f>
        <v>5.5285211000000003E-3</v>
      </c>
      <c r="L3" s="9">
        <v>1</v>
      </c>
      <c r="M3" s="6">
        <v>2</v>
      </c>
      <c r="N3" s="10">
        <v>1.18196E-4</v>
      </c>
      <c r="O3" s="10">
        <v>4.2149917000000002E-3</v>
      </c>
      <c r="P3" s="10">
        <v>8.2074999999999997E-4</v>
      </c>
      <c r="Q3" s="10">
        <v>3.7458339999999998E-4</v>
      </c>
    </row>
    <row r="4" spans="1:22" x14ac:dyDescent="0.2">
      <c r="A4" s="6" t="s">
        <v>26</v>
      </c>
      <c r="B4" s="6">
        <v>37</v>
      </c>
      <c r="C4" s="6">
        <v>36</v>
      </c>
      <c r="D4" s="7">
        <f>SUM(Tabella13[[#This Row],[UAV solver time]:[BSS solver time]])</f>
        <v>63.580628958000005</v>
      </c>
      <c r="E4" s="6">
        <v>1</v>
      </c>
      <c r="F4" s="6">
        <v>2</v>
      </c>
      <c r="G4" s="8">
        <v>63.574494833000003</v>
      </c>
      <c r="H4" s="8">
        <v>6.1341250000026496E-3</v>
      </c>
      <c r="I4" s="6">
        <v>37</v>
      </c>
      <c r="J4" s="6">
        <v>36</v>
      </c>
      <c r="K4" s="10">
        <f>SUM(Tabella13[[#This Row],[DARP time]:[PP BSS time]])</f>
        <v>1.7660832999999989E-3</v>
      </c>
      <c r="L4" s="9">
        <v>1</v>
      </c>
      <c r="M4" s="6">
        <v>2</v>
      </c>
      <c r="N4" s="10">
        <v>7.0741900000000001E-5</v>
      </c>
      <c r="O4" s="10">
        <v>1.2693875E-3</v>
      </c>
      <c r="P4" s="10">
        <v>3.185458E-4</v>
      </c>
      <c r="Q4" s="10">
        <v>1.07408099999999E-4</v>
      </c>
    </row>
    <row r="5" spans="1:22" x14ac:dyDescent="0.2">
      <c r="A5" s="6" t="s">
        <v>27</v>
      </c>
      <c r="B5" s="6">
        <v>37</v>
      </c>
      <c r="C5" s="6">
        <v>36</v>
      </c>
      <c r="D5" s="7">
        <f>SUM(Tabella13[[#This Row],[UAV solver time]:[BSS solver time]])</f>
        <v>63.231743291999884</v>
      </c>
      <c r="E5" s="6">
        <v>1</v>
      </c>
      <c r="F5" s="6">
        <v>2</v>
      </c>
      <c r="G5" s="8">
        <v>63.226470124999899</v>
      </c>
      <c r="H5" s="8">
        <v>5.2731669999843602E-3</v>
      </c>
      <c r="I5" s="6">
        <v>38</v>
      </c>
      <c r="J5" s="6">
        <v>44</v>
      </c>
      <c r="K5" s="10">
        <f>SUM(Tabella13[[#This Row],[DARP time]:[PP BSS time]])</f>
        <v>3.4602709E-3</v>
      </c>
      <c r="L5" s="9">
        <v>1</v>
      </c>
      <c r="M5" s="6">
        <v>3</v>
      </c>
      <c r="N5" s="10">
        <v>5.94834E-5</v>
      </c>
      <c r="O5" s="10">
        <v>2.4274708E-3</v>
      </c>
      <c r="P5" s="10">
        <v>8.3184999999999997E-4</v>
      </c>
      <c r="Q5" s="10">
        <v>1.414667E-4</v>
      </c>
    </row>
    <row r="6" spans="1:22" x14ac:dyDescent="0.2">
      <c r="A6" s="6" t="s">
        <v>28</v>
      </c>
      <c r="B6" s="6">
        <v>37</v>
      </c>
      <c r="C6" s="6">
        <v>36</v>
      </c>
      <c r="D6" s="7">
        <f>SUM(Tabella13[[#This Row],[UAV solver time]:[BSS solver time]])</f>
        <v>39.06770041599998</v>
      </c>
      <c r="E6" s="6">
        <v>1</v>
      </c>
      <c r="F6" s="6">
        <v>2</v>
      </c>
      <c r="G6" s="8">
        <v>39.064952540999997</v>
      </c>
      <c r="H6" s="8">
        <v>2.7478749999829601E-3</v>
      </c>
      <c r="I6" s="6">
        <v>37</v>
      </c>
      <c r="J6" s="6">
        <v>36</v>
      </c>
      <c r="K6" s="10">
        <f>SUM(Tabella13[[#This Row],[DARP time]:[PP BSS time]])</f>
        <v>2.0201371E-3</v>
      </c>
      <c r="L6" s="9">
        <v>1</v>
      </c>
      <c r="M6" s="6">
        <v>2</v>
      </c>
      <c r="N6" s="10">
        <v>6.05834E-5</v>
      </c>
      <c r="O6" s="10">
        <v>1.4156164999999999E-3</v>
      </c>
      <c r="P6" s="10">
        <v>4.3888329999999999E-4</v>
      </c>
      <c r="Q6" s="10">
        <v>1.0505389999999999E-4</v>
      </c>
    </row>
    <row r="7" spans="1:22" x14ac:dyDescent="0.2">
      <c r="A7" s="6" t="s">
        <v>29</v>
      </c>
      <c r="B7" s="6">
        <v>37</v>
      </c>
      <c r="C7" s="6">
        <v>36</v>
      </c>
      <c r="D7" s="7">
        <f>SUM(Tabella13[[#This Row],[UAV solver time]:[BSS solver time]])</f>
        <v>47.810953624999854</v>
      </c>
      <c r="E7" s="6">
        <v>1</v>
      </c>
      <c r="F7" s="6">
        <v>2</v>
      </c>
      <c r="G7" s="8">
        <v>47.808030791999897</v>
      </c>
      <c r="H7" s="8">
        <v>2.9228329999568801E-3</v>
      </c>
      <c r="I7" s="6">
        <v>38</v>
      </c>
      <c r="J7" s="6">
        <v>44</v>
      </c>
      <c r="K7" s="10">
        <f>SUM(Tabella13[[#This Row],[DARP time]:[PP BSS time]])</f>
        <v>1.2060998E-3</v>
      </c>
      <c r="L7" s="9">
        <v>1</v>
      </c>
      <c r="M7" s="6">
        <v>3</v>
      </c>
      <c r="N7" s="10">
        <v>5.3666499999999999E-5</v>
      </c>
      <c r="O7" s="10">
        <v>6.8329580000000005E-4</v>
      </c>
      <c r="P7" s="10">
        <v>3.6468319999999999E-4</v>
      </c>
      <c r="Q7" s="10">
        <v>1.0445429999999999E-4</v>
      </c>
    </row>
    <row r="8" spans="1:22" x14ac:dyDescent="0.2">
      <c r="A8" s="6" t="s">
        <v>30</v>
      </c>
      <c r="B8" s="6">
        <v>37</v>
      </c>
      <c r="C8" s="6">
        <v>36</v>
      </c>
      <c r="D8" s="7">
        <f>SUM(Tabella13[[#This Row],[UAV solver time]:[BSS solver time]])</f>
        <v>38.796644667000017</v>
      </c>
      <c r="E8" s="6">
        <v>1</v>
      </c>
      <c r="F8" s="6">
        <v>2</v>
      </c>
      <c r="G8" s="8">
        <v>38.791583957999997</v>
      </c>
      <c r="H8" s="8">
        <v>5.06070900001986E-3</v>
      </c>
      <c r="I8" s="6">
        <v>38</v>
      </c>
      <c r="J8" s="6">
        <v>54</v>
      </c>
      <c r="K8" s="10">
        <f>SUM(Tabella13[[#This Row],[DARP time]:[PP BSS time]])</f>
        <v>1.1470578999999989E-3</v>
      </c>
      <c r="L8" s="9">
        <v>1</v>
      </c>
      <c r="M8" s="6">
        <v>3</v>
      </c>
      <c r="N8" s="10">
        <v>6.2308299999999994E-5</v>
      </c>
      <c r="O8" s="10">
        <v>6.2405389999999896E-4</v>
      </c>
      <c r="P8" s="10">
        <v>3.4648730000000003E-4</v>
      </c>
      <c r="Q8" s="10">
        <v>1.142084E-4</v>
      </c>
    </row>
    <row r="9" spans="1:22" x14ac:dyDescent="0.2">
      <c r="A9" s="6" t="s">
        <v>31</v>
      </c>
      <c r="B9" s="6">
        <v>37</v>
      </c>
      <c r="C9" s="6">
        <v>36</v>
      </c>
      <c r="D9" s="7">
        <f>SUM(Tabella13[[#This Row],[UAV solver time]:[BSS solver time]])</f>
        <v>80.244526832999924</v>
      </c>
      <c r="E9" s="6">
        <v>1</v>
      </c>
      <c r="F9" s="6">
        <v>2</v>
      </c>
      <c r="G9" s="8">
        <v>80.2416318329999</v>
      </c>
      <c r="H9" s="8">
        <v>2.89500000002362E-3</v>
      </c>
      <c r="I9" s="6">
        <v>37</v>
      </c>
      <c r="J9" s="6">
        <v>38</v>
      </c>
      <c r="K9" s="10">
        <f>SUM(Tabella13[[#This Row],[DARP time]:[PP BSS time]])</f>
        <v>1.2651335000000001E-3</v>
      </c>
      <c r="L9" s="9">
        <v>1</v>
      </c>
      <c r="M9" s="6">
        <v>2</v>
      </c>
      <c r="N9" s="10">
        <v>5.29624E-5</v>
      </c>
      <c r="O9" s="10">
        <v>8.0281690000000001E-4</v>
      </c>
      <c r="P9" s="10">
        <v>3.3469149999999998E-4</v>
      </c>
      <c r="Q9" s="10">
        <v>7.4662700000000006E-5</v>
      </c>
    </row>
    <row r="10" spans="1:22" x14ac:dyDescent="0.2">
      <c r="A10" s="6" t="s">
        <v>32</v>
      </c>
      <c r="B10" s="6">
        <v>37</v>
      </c>
      <c r="C10" s="6">
        <v>36</v>
      </c>
      <c r="D10" s="7">
        <f>SUM(Tabella13[[#This Row],[UAV solver time]:[BSS solver time]])</f>
        <v>209.85773516699896</v>
      </c>
      <c r="E10" s="6">
        <v>1</v>
      </c>
      <c r="F10" s="6">
        <v>2</v>
      </c>
      <c r="G10" s="8">
        <v>209.851819833999</v>
      </c>
      <c r="H10" s="8">
        <v>5.9153329999617199E-3</v>
      </c>
      <c r="I10" s="6">
        <v>38</v>
      </c>
      <c r="J10" s="6">
        <v>41</v>
      </c>
      <c r="K10" s="10">
        <f>SUM(Tabella13[[#This Row],[DARP time]:[PP BSS time]])</f>
        <v>1.0830458999999998E-3</v>
      </c>
      <c r="L10" s="9">
        <v>1</v>
      </c>
      <c r="M10" s="6">
        <v>3</v>
      </c>
      <c r="N10" s="10">
        <v>5.5095899999999901E-5</v>
      </c>
      <c r="O10" s="10">
        <v>6.3883349999999995E-4</v>
      </c>
      <c r="P10" s="10">
        <v>2.9124579999999998E-4</v>
      </c>
      <c r="Q10" s="10">
        <v>9.7870700000000005E-5</v>
      </c>
    </row>
    <row r="11" spans="1:22" x14ac:dyDescent="0.2">
      <c r="A11" s="6" t="s">
        <v>24</v>
      </c>
      <c r="B11" s="6">
        <v>37</v>
      </c>
      <c r="C11" s="6">
        <v>36</v>
      </c>
      <c r="D11" s="7">
        <f>SUM(Tabella13[[#This Row],[UAV solver time]:[BSS solver time]])</f>
        <v>101.43857800000001</v>
      </c>
      <c r="E11" s="6">
        <v>1</v>
      </c>
      <c r="F11" s="6">
        <v>2</v>
      </c>
      <c r="G11" s="8">
        <v>101.43570666700001</v>
      </c>
      <c r="H11" s="8">
        <v>2.87133300000164E-3</v>
      </c>
      <c r="I11" s="6">
        <v>38</v>
      </c>
      <c r="J11" s="6">
        <v>41</v>
      </c>
      <c r="K11" s="10">
        <f>SUM(Tabella13[[#This Row],[DARP time]:[PP BSS time]])</f>
        <v>1.7791000000000001E-2</v>
      </c>
      <c r="L11" s="9">
        <v>1</v>
      </c>
      <c r="M11" s="6">
        <v>3</v>
      </c>
      <c r="N11" s="10">
        <v>3.4099999999999999E-4</v>
      </c>
      <c r="O11" s="10">
        <v>1.323E-2</v>
      </c>
      <c r="P11" s="10">
        <v>2.8E-3</v>
      </c>
      <c r="Q11" s="10">
        <v>1.42E-3</v>
      </c>
    </row>
    <row r="13" spans="1:22" x14ac:dyDescent="0.2">
      <c r="B13" s="12">
        <f>AVERAGE(Tabella13[Misson time OPT])</f>
        <v>37</v>
      </c>
      <c r="C13" s="12">
        <f>AVERAGE(Tabella13[Cumulative energy OPT])</f>
        <v>36</v>
      </c>
      <c r="D13" s="4">
        <f>AVERAGE(Tabella13[Execution Time OPT])</f>
        <v>77.199494981444289</v>
      </c>
      <c r="E13" s="12">
        <f>AVERAGE(Tabella13[[O BSS used ]])</f>
        <v>1</v>
      </c>
      <c r="F13" s="12">
        <f>AVERAGE(Tabella13[O Batteries used])</f>
        <v>2</v>
      </c>
      <c r="G13" s="4"/>
      <c r="H13" s="4"/>
      <c r="I13" s="12">
        <f>AVERAGE(Tabella13[Misson time H])</f>
        <v>37.555555555555557</v>
      </c>
      <c r="J13" s="12">
        <f>AVERAGE(Tabella13[Cumulative energy H])</f>
        <v>41.111111111111114</v>
      </c>
      <c r="K13" s="11">
        <f>AVERAGE(Tabella13[Execution Time H])</f>
        <v>3.918594388888889E-3</v>
      </c>
      <c r="L13" s="12">
        <f>AVERAGE(Tabella13[H BSS Used])</f>
        <v>1</v>
      </c>
      <c r="M13" s="12">
        <f>AVERAGE(Tabella13[H Batteries used])</f>
        <v>2.5555555555555554</v>
      </c>
    </row>
    <row r="16" spans="1:22" ht="18" x14ac:dyDescent="0.2">
      <c r="V16" s="2" t="s">
        <v>9</v>
      </c>
    </row>
    <row r="33" spans="23:23" ht="18" x14ac:dyDescent="0.2">
      <c r="W33" s="2" t="s">
        <v>8</v>
      </c>
    </row>
    <row r="50" spans="22:22" ht="18" x14ac:dyDescent="0.2">
      <c r="V50" s="3" t="s">
        <v>1</v>
      </c>
    </row>
  </sheetData>
  <mergeCells count="2">
    <mergeCell ref="B1:D1"/>
    <mergeCell ref="I1:Q1"/>
  </mergeCells>
  <phoneticPr fontId="4" type="noConversion"/>
  <pageMargins left="0.7" right="0.7" top="0.75" bottom="0.75" header="0.3" footer="0.3"/>
  <pageSetup paperSize="9" orientation="portrait" horizontalDpi="0" verticalDpi="0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F73B6-8AD7-B344-A8D2-E72681C18A38}">
  <sheetPr codeName="Foglio4"/>
  <dimension ref="A1:W57"/>
  <sheetViews>
    <sheetView topLeftCell="H1" zoomScale="57" zoomScaleNormal="130" workbookViewId="0">
      <selection activeCell="B11" sqref="B11"/>
    </sheetView>
  </sheetViews>
  <sheetFormatPr baseColWidth="10" defaultRowHeight="16" x14ac:dyDescent="0.2"/>
  <cols>
    <col min="1" max="1" width="22.6640625" bestFit="1" customWidth="1"/>
    <col min="2" max="2" width="17.6640625" bestFit="1" customWidth="1"/>
    <col min="3" max="3" width="23.1640625" bestFit="1" customWidth="1"/>
    <col min="4" max="4" width="20.33203125" bestFit="1" customWidth="1"/>
    <col min="5" max="8" width="20.33203125" customWidth="1"/>
    <col min="9" max="9" width="15.6640625" bestFit="1" customWidth="1"/>
    <col min="10" max="10" width="21.1640625" bestFit="1" customWidth="1"/>
    <col min="11" max="11" width="18.1640625" bestFit="1" customWidth="1"/>
    <col min="12" max="12" width="18.1640625" customWidth="1"/>
    <col min="13" max="13" width="18" bestFit="1" customWidth="1"/>
    <col min="14" max="14" width="12.6640625" bestFit="1" customWidth="1"/>
    <col min="15" max="15" width="11" bestFit="1" customWidth="1"/>
    <col min="16" max="16" width="14.1640625" bestFit="1" customWidth="1"/>
    <col min="17" max="17" width="13.6640625" bestFit="1" customWidth="1"/>
  </cols>
  <sheetData>
    <row r="1" spans="1:17" x14ac:dyDescent="0.2">
      <c r="A1" s="4" t="s">
        <v>44</v>
      </c>
      <c r="B1" s="26" t="s">
        <v>11</v>
      </c>
      <c r="C1" s="26"/>
      <c r="D1" s="26"/>
      <c r="E1" s="5"/>
      <c r="F1" s="5"/>
      <c r="G1" s="5"/>
      <c r="H1" s="5"/>
      <c r="I1" s="25" t="s">
        <v>10</v>
      </c>
      <c r="J1" s="25"/>
      <c r="K1" s="25"/>
      <c r="L1" s="25"/>
      <c r="M1" s="25"/>
      <c r="N1" s="25"/>
      <c r="O1" s="25"/>
      <c r="P1" s="25"/>
      <c r="Q1" s="25"/>
    </row>
    <row r="2" spans="1:17" x14ac:dyDescent="0.2">
      <c r="A2" t="s">
        <v>13</v>
      </c>
      <c r="B2" t="s">
        <v>2</v>
      </c>
      <c r="C2" t="s">
        <v>3</v>
      </c>
      <c r="D2" t="s">
        <v>4</v>
      </c>
      <c r="E2" t="s">
        <v>14</v>
      </c>
      <c r="F2" t="s">
        <v>16</v>
      </c>
      <c r="G2" t="s">
        <v>18</v>
      </c>
      <c r="H2" t="s">
        <v>19</v>
      </c>
      <c r="I2" t="s">
        <v>5</v>
      </c>
      <c r="J2" t="s">
        <v>6</v>
      </c>
      <c r="K2" t="s">
        <v>7</v>
      </c>
      <c r="L2" t="s">
        <v>15</v>
      </c>
      <c r="M2" t="s">
        <v>17</v>
      </c>
      <c r="N2" t="s">
        <v>20</v>
      </c>
      <c r="O2" t="s">
        <v>21</v>
      </c>
      <c r="P2" t="s">
        <v>22</v>
      </c>
      <c r="Q2" t="s">
        <v>23</v>
      </c>
    </row>
    <row r="3" spans="1:17" x14ac:dyDescent="0.2">
      <c r="A3" s="6" t="s">
        <v>37</v>
      </c>
      <c r="B3" s="6">
        <v>13</v>
      </c>
      <c r="C3" s="6">
        <v>24</v>
      </c>
      <c r="D3" s="7">
        <f>SUM(Tabella1345[[#This Row],[UAV solver time]:[BSS solver time]])</f>
        <v>9.2497559999999996</v>
      </c>
      <c r="E3" s="6">
        <v>2</v>
      </c>
      <c r="F3" s="6">
        <v>4</v>
      </c>
      <c r="G3" s="8">
        <v>8.2401952499999993</v>
      </c>
      <c r="H3" s="8">
        <v>1.0095607499999999</v>
      </c>
      <c r="I3" s="6">
        <v>13</v>
      </c>
      <c r="J3" s="6">
        <v>31</v>
      </c>
      <c r="K3" s="10">
        <f>SUM(Tabella1345[[#This Row],[DARP time]:[PP BSS time]])</f>
        <v>0.102793</v>
      </c>
      <c r="L3" s="9">
        <v>1</v>
      </c>
      <c r="M3" s="6">
        <v>4</v>
      </c>
      <c r="N3" s="10">
        <v>9.5659999999999995E-2</v>
      </c>
      <c r="O3" s="10">
        <v>6.097E-3</v>
      </c>
      <c r="P3" s="10">
        <v>4.4499999999999997E-4</v>
      </c>
      <c r="Q3" s="10">
        <v>5.9100000000000005E-4</v>
      </c>
    </row>
    <row r="4" spans="1:17" x14ac:dyDescent="0.2">
      <c r="A4" s="6" t="s">
        <v>38</v>
      </c>
      <c r="B4" s="6">
        <v>13</v>
      </c>
      <c r="C4" s="6">
        <v>27</v>
      </c>
      <c r="D4" s="7">
        <f>SUM(Tabella1345[[#This Row],[UAV solver time]:[BSS solver time]])</f>
        <v>14.638124748999999</v>
      </c>
      <c r="E4" s="6">
        <v>1</v>
      </c>
      <c r="F4" s="6">
        <v>4</v>
      </c>
      <c r="G4" s="8">
        <v>14.630776083000001</v>
      </c>
      <c r="H4" s="8">
        <v>7.3486659999986098E-3</v>
      </c>
      <c r="I4" s="6">
        <v>13</v>
      </c>
      <c r="J4" s="6">
        <v>28</v>
      </c>
      <c r="K4" s="10">
        <f>SUM(Tabella1345[[#This Row],[DARP time]:[PP BSS time]])</f>
        <v>1.0510000000000001E-3</v>
      </c>
      <c r="L4" s="9">
        <v>1</v>
      </c>
      <c r="M4" s="6">
        <v>4</v>
      </c>
      <c r="N4" s="10">
        <v>2.8E-5</v>
      </c>
      <c r="O4" s="10">
        <v>7.6800000000000002E-4</v>
      </c>
      <c r="P4" s="10">
        <v>1.64E-4</v>
      </c>
      <c r="Q4" s="10">
        <v>9.1000000000000003E-5</v>
      </c>
    </row>
    <row r="5" spans="1:17" x14ac:dyDescent="0.2">
      <c r="A5" s="6" t="s">
        <v>39</v>
      </c>
      <c r="B5" s="6">
        <v>13</v>
      </c>
      <c r="C5" s="6">
        <v>24</v>
      </c>
      <c r="D5" s="7">
        <f>SUM(Tabella1345[[#This Row],[UAV solver time]:[BSS solver time]])</f>
        <v>10.883166790999899</v>
      </c>
      <c r="E5" s="6">
        <v>2</v>
      </c>
      <c r="F5" s="6">
        <v>4</v>
      </c>
      <c r="G5" s="8">
        <v>10.4204462079999</v>
      </c>
      <c r="H5" s="8">
        <v>0.46272058299999902</v>
      </c>
      <c r="I5" s="6">
        <v>13</v>
      </c>
      <c r="J5" s="6">
        <v>24</v>
      </c>
      <c r="K5" s="10">
        <f>SUM(Tabella1345[[#This Row],[DARP time]:[PP BSS time]])</f>
        <v>7.3594999999999994E-2</v>
      </c>
      <c r="L5" s="9">
        <v>2</v>
      </c>
      <c r="M5" s="6">
        <v>4</v>
      </c>
      <c r="N5" s="10">
        <v>7.2644E-2</v>
      </c>
      <c r="O5" s="10">
        <v>6.8300000000000001E-4</v>
      </c>
      <c r="P5" s="10">
        <v>1.76E-4</v>
      </c>
      <c r="Q5" s="10">
        <v>9.2E-5</v>
      </c>
    </row>
    <row r="6" spans="1:17" x14ac:dyDescent="0.2">
      <c r="A6" s="6" t="s">
        <v>40</v>
      </c>
      <c r="B6" s="6">
        <v>13</v>
      </c>
      <c r="C6" s="6">
        <v>24</v>
      </c>
      <c r="D6" s="7">
        <f>SUM(Tabella1345[[#This Row],[UAV solver time]:[BSS solver time]])</f>
        <v>11.853127499999999</v>
      </c>
      <c r="E6" s="6">
        <v>2</v>
      </c>
      <c r="F6" s="6">
        <v>4</v>
      </c>
      <c r="G6" s="8">
        <v>10.98892575</v>
      </c>
      <c r="H6" s="8">
        <v>0.86420174999999899</v>
      </c>
      <c r="I6" s="6">
        <v>13</v>
      </c>
      <c r="J6" s="6">
        <v>24</v>
      </c>
      <c r="K6" s="10">
        <f>SUM(Tabella1345[[#This Row],[DARP time]:[PP BSS time]])</f>
        <v>4.0400000000000001E-4</v>
      </c>
      <c r="L6" s="9">
        <v>2</v>
      </c>
      <c r="M6" s="6">
        <v>4</v>
      </c>
      <c r="N6" s="10">
        <v>7.9999999999999996E-6</v>
      </c>
      <c r="O6" s="10">
        <v>2.4399999999999999E-4</v>
      </c>
      <c r="P6" s="10">
        <v>8.8999999999999995E-5</v>
      </c>
      <c r="Q6" s="10">
        <v>6.3E-5</v>
      </c>
    </row>
    <row r="7" spans="1:17" x14ac:dyDescent="0.2">
      <c r="A7" s="6" t="s">
        <v>41</v>
      </c>
      <c r="B7" s="6">
        <v>13</v>
      </c>
      <c r="C7" s="6">
        <v>24</v>
      </c>
      <c r="D7" s="7">
        <f>SUM(Tabella1345[[#This Row],[UAV solver time]:[BSS solver time]])</f>
        <v>10.559301041999994</v>
      </c>
      <c r="E7" s="6">
        <v>2</v>
      </c>
      <c r="F7" s="6">
        <v>4</v>
      </c>
      <c r="G7" s="8">
        <v>9.9148981250000006</v>
      </c>
      <c r="H7" s="8">
        <v>0.64440291699999297</v>
      </c>
      <c r="I7" s="6">
        <v>13</v>
      </c>
      <c r="J7" s="6">
        <v>34</v>
      </c>
      <c r="K7" s="10">
        <f>SUM(Tabella1345[[#This Row],[DARP time]:[PP BSS time]])</f>
        <v>4.2300000000000004E-4</v>
      </c>
      <c r="L7" s="9">
        <v>1</v>
      </c>
      <c r="M7" s="6">
        <v>4</v>
      </c>
      <c r="N7" s="10">
        <v>1.2E-5</v>
      </c>
      <c r="O7" s="10">
        <v>2.3699999999999999E-4</v>
      </c>
      <c r="P7" s="10">
        <v>1.3100000000000001E-4</v>
      </c>
      <c r="Q7" s="10">
        <v>4.3000000000000002E-5</v>
      </c>
    </row>
    <row r="8" spans="1:17" x14ac:dyDescent="0.2">
      <c r="A8" s="6" t="s">
        <v>42</v>
      </c>
      <c r="B8" s="6">
        <v>13</v>
      </c>
      <c r="C8" s="6">
        <v>24</v>
      </c>
      <c r="D8" s="7">
        <f>SUM(Tabella1345[[#This Row],[UAV solver time]:[BSS solver time]])</f>
        <v>9.0309202909999833</v>
      </c>
      <c r="E8" s="6">
        <v>2</v>
      </c>
      <c r="F8" s="6">
        <v>4</v>
      </c>
      <c r="G8" s="8">
        <v>8.0631692909999906</v>
      </c>
      <c r="H8" s="8">
        <v>0.96775099999999203</v>
      </c>
      <c r="I8" s="6">
        <v>13</v>
      </c>
      <c r="J8" s="6">
        <v>38</v>
      </c>
      <c r="K8" s="10">
        <f>SUM(Tabella1345[[#This Row],[DARP time]:[PP BSS time]])</f>
        <v>3.3700000000000001E-4</v>
      </c>
      <c r="L8" s="9">
        <v>2</v>
      </c>
      <c r="M8" s="6">
        <v>4</v>
      </c>
      <c r="N8" s="10">
        <v>6.9999999999999999E-6</v>
      </c>
      <c r="O8" s="10">
        <v>2.0900000000000001E-4</v>
      </c>
      <c r="P8" s="10">
        <v>7.2000000000000002E-5</v>
      </c>
      <c r="Q8" s="10">
        <v>4.8999999999999998E-5</v>
      </c>
    </row>
    <row r="9" spans="1:17" x14ac:dyDescent="0.2">
      <c r="A9" s="6" t="s">
        <v>43</v>
      </c>
      <c r="B9" s="6">
        <v>13</v>
      </c>
      <c r="C9" s="6">
        <v>24</v>
      </c>
      <c r="D9" s="7">
        <f>SUM(Tabella1345[[#This Row],[UAV solver time]:[BSS solver time]])</f>
        <v>8.6673272919999871</v>
      </c>
      <c r="E9" s="6">
        <v>2</v>
      </c>
      <c r="F9" s="6">
        <v>4</v>
      </c>
      <c r="G9" s="8">
        <v>7.84145654199998</v>
      </c>
      <c r="H9" s="8">
        <v>0.82587075000000698</v>
      </c>
      <c r="I9" s="6">
        <v>13</v>
      </c>
      <c r="J9" s="6">
        <v>32</v>
      </c>
      <c r="K9" s="10">
        <f>SUM(Tabella1345[[#This Row],[DARP time]:[PP BSS time]])</f>
        <v>5.1876000000000005E-2</v>
      </c>
      <c r="L9" s="9">
        <v>1</v>
      </c>
      <c r="M9" s="6">
        <v>4</v>
      </c>
      <c r="N9" s="10">
        <v>5.1268000000000001E-2</v>
      </c>
      <c r="O9" s="10">
        <v>4.6000000000000001E-4</v>
      </c>
      <c r="P9" s="10">
        <v>8.2999999999999998E-5</v>
      </c>
      <c r="Q9" s="10">
        <v>6.4999999999999994E-5</v>
      </c>
    </row>
    <row r="11" spans="1:17" x14ac:dyDescent="0.2">
      <c r="B11" s="12">
        <f>AVERAGE(Tabella1345[Misson time OPT])</f>
        <v>13</v>
      </c>
      <c r="C11" s="12">
        <f>AVERAGE(Tabella1345[Cumulative energy OPT])</f>
        <v>24.428571428571427</v>
      </c>
      <c r="D11" s="4">
        <f>AVERAGE(Tabella1345[Execution Time OPT])</f>
        <v>10.697389094999979</v>
      </c>
      <c r="E11" s="12">
        <f>AVERAGE(Tabella1345[[O BSS used ]])</f>
        <v>1.8571428571428572</v>
      </c>
      <c r="F11" s="12">
        <f>AVERAGE(Tabella1345[O Batteries used])</f>
        <v>4</v>
      </c>
      <c r="G11" s="4"/>
      <c r="H11" s="4"/>
      <c r="I11" s="12">
        <f>AVERAGE(Tabella1345[Misson time H])</f>
        <v>13</v>
      </c>
      <c r="J11" s="12">
        <f>AVERAGE(Tabella1345[Cumulative energy H])</f>
        <v>30.142857142857142</v>
      </c>
      <c r="K11" s="11">
        <f>AVERAGE(Tabella1345[Execution Time H])</f>
        <v>3.2925571428571429E-2</v>
      </c>
      <c r="L11" s="12">
        <f>AVERAGE(Tabella1345[H BSS Used])</f>
        <v>1.4285714285714286</v>
      </c>
      <c r="M11" s="12">
        <f>AVERAGE(Tabella1345[H Batteries used])</f>
        <v>4</v>
      </c>
    </row>
    <row r="23" spans="22:22" ht="18" x14ac:dyDescent="0.2">
      <c r="V23" s="2" t="s">
        <v>9</v>
      </c>
    </row>
    <row r="40" spans="23:23" ht="18" x14ac:dyDescent="0.2">
      <c r="W40" s="2" t="s">
        <v>8</v>
      </c>
    </row>
    <row r="57" spans="22:22" ht="18" x14ac:dyDescent="0.2">
      <c r="V57" s="3" t="s">
        <v>1</v>
      </c>
    </row>
  </sheetData>
  <mergeCells count="2">
    <mergeCell ref="B1:D1"/>
    <mergeCell ref="I1:Q1"/>
  </mergeCells>
  <phoneticPr fontId="4" type="noConversion"/>
  <pageMargins left="0.7" right="0.7" top="0.75" bottom="0.75" header="0.3" footer="0.3"/>
  <pageSetup paperSize="9" orientation="portrait" horizontalDpi="0" verticalDpi="0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A8946-EAB3-DE4B-8D40-1D212AAEA5CC}">
  <sheetPr codeName="Foglio3"/>
  <dimension ref="A1:W50"/>
  <sheetViews>
    <sheetView zoomScale="55" zoomScaleNormal="130" workbookViewId="0">
      <selection activeCell="D10" sqref="D10"/>
    </sheetView>
  </sheetViews>
  <sheetFormatPr baseColWidth="10" defaultRowHeight="16" x14ac:dyDescent="0.2"/>
  <cols>
    <col min="1" max="1" width="22.6640625" bestFit="1" customWidth="1"/>
    <col min="2" max="2" width="17.6640625" bestFit="1" customWidth="1"/>
    <col min="3" max="3" width="23.1640625" bestFit="1" customWidth="1"/>
    <col min="4" max="4" width="20.33203125" bestFit="1" customWidth="1"/>
    <col min="5" max="8" width="20.33203125" customWidth="1"/>
    <col min="9" max="9" width="15.6640625" bestFit="1" customWidth="1"/>
    <col min="10" max="10" width="21.1640625" bestFit="1" customWidth="1"/>
    <col min="11" max="11" width="18.1640625" bestFit="1" customWidth="1"/>
    <col min="12" max="12" width="18.1640625" customWidth="1"/>
    <col min="13" max="13" width="18" bestFit="1" customWidth="1"/>
    <col min="14" max="14" width="12.6640625" bestFit="1" customWidth="1"/>
    <col min="15" max="15" width="11" bestFit="1" customWidth="1"/>
    <col min="16" max="16" width="14.1640625" bestFit="1" customWidth="1"/>
    <col min="17" max="17" width="13.6640625" bestFit="1" customWidth="1"/>
  </cols>
  <sheetData>
    <row r="1" spans="1:22" x14ac:dyDescent="0.2">
      <c r="A1" s="4" t="s">
        <v>36</v>
      </c>
      <c r="B1" s="26" t="s">
        <v>11</v>
      </c>
      <c r="C1" s="26"/>
      <c r="D1" s="26"/>
      <c r="E1" s="5"/>
      <c r="F1" s="5"/>
      <c r="G1" s="5"/>
      <c r="H1" s="5"/>
      <c r="I1" s="25" t="s">
        <v>10</v>
      </c>
      <c r="J1" s="25"/>
      <c r="K1" s="25"/>
      <c r="L1" s="25"/>
      <c r="M1" s="25"/>
      <c r="N1" s="25"/>
      <c r="O1" s="25"/>
      <c r="P1" s="25"/>
      <c r="Q1" s="25"/>
    </row>
    <row r="2" spans="1:22" x14ac:dyDescent="0.2">
      <c r="A2" t="s">
        <v>13</v>
      </c>
      <c r="B2" t="s">
        <v>2</v>
      </c>
      <c r="C2" t="s">
        <v>3</v>
      </c>
      <c r="D2" t="s">
        <v>4</v>
      </c>
      <c r="E2" t="s">
        <v>14</v>
      </c>
      <c r="F2" t="s">
        <v>16</v>
      </c>
      <c r="G2" t="s">
        <v>18</v>
      </c>
      <c r="H2" t="s">
        <v>19</v>
      </c>
      <c r="I2" t="s">
        <v>5</v>
      </c>
      <c r="J2" t="s">
        <v>6</v>
      </c>
      <c r="K2" t="s">
        <v>7</v>
      </c>
      <c r="L2" t="s">
        <v>15</v>
      </c>
      <c r="M2" t="s">
        <v>17</v>
      </c>
      <c r="N2" t="s">
        <v>20</v>
      </c>
      <c r="O2" t="s">
        <v>21</v>
      </c>
      <c r="P2" t="s">
        <v>22</v>
      </c>
      <c r="Q2" t="s">
        <v>23</v>
      </c>
    </row>
    <row r="3" spans="1:22" x14ac:dyDescent="0.2">
      <c r="A3" s="6" t="s">
        <v>33</v>
      </c>
      <c r="B3" s="6">
        <v>17</v>
      </c>
      <c r="C3" s="6">
        <v>12</v>
      </c>
      <c r="D3" s="7">
        <f>SUM(Tabella134[[#This Row],[UAV solver time]:[BSS solver time]])</f>
        <v>0</v>
      </c>
      <c r="E3" s="6">
        <v>1</v>
      </c>
      <c r="F3" s="6">
        <v>6</v>
      </c>
      <c r="G3" s="8"/>
      <c r="H3" s="8"/>
      <c r="I3" s="6">
        <v>17</v>
      </c>
      <c r="J3" s="6">
        <v>12</v>
      </c>
      <c r="K3" s="10">
        <f>SUM(Tabella134[[#This Row],[DARP time]:[PP BSS time]])</f>
        <v>3.9740000000000001E-3</v>
      </c>
      <c r="L3" s="9">
        <v>1</v>
      </c>
      <c r="M3" s="6">
        <v>6</v>
      </c>
      <c r="N3" s="10">
        <v>1.2E-4</v>
      </c>
      <c r="O3" s="10">
        <v>3.026E-3</v>
      </c>
      <c r="P3" s="10">
        <v>2.5399999999999999E-4</v>
      </c>
      <c r="Q3" s="10">
        <v>5.7399999999999997E-4</v>
      </c>
    </row>
    <row r="4" spans="1:22" x14ac:dyDescent="0.2">
      <c r="A4" s="6" t="s">
        <v>34</v>
      </c>
      <c r="B4" s="6">
        <v>17</v>
      </c>
      <c r="C4" s="6">
        <v>12</v>
      </c>
      <c r="D4" s="7">
        <f>SUM(Tabella134[[#This Row],[UAV solver time]:[BSS solver time]])</f>
        <v>16.239948666999997</v>
      </c>
      <c r="E4" s="6">
        <v>1</v>
      </c>
      <c r="F4" s="6">
        <v>6</v>
      </c>
      <c r="G4" s="8">
        <v>16.225326249999998</v>
      </c>
      <c r="H4" s="8">
        <v>1.46224169999982E-2</v>
      </c>
      <c r="I4" s="6">
        <v>17</v>
      </c>
      <c r="J4" s="6">
        <v>12</v>
      </c>
      <c r="K4" s="10">
        <f>SUM(Tabella134[[#This Row],[DARP time]:[PP BSS time]])</f>
        <v>1.2049999999999999E-3</v>
      </c>
      <c r="L4" s="9">
        <v>1</v>
      </c>
      <c r="M4" s="6">
        <v>6</v>
      </c>
      <c r="N4" s="10">
        <v>4.8999999999999998E-5</v>
      </c>
      <c r="O4" s="10">
        <v>8.43E-4</v>
      </c>
      <c r="P4" s="10">
        <v>1.3200000000000001E-4</v>
      </c>
      <c r="Q4" s="10">
        <v>1.8100000000000001E-4</v>
      </c>
    </row>
    <row r="5" spans="1:22" x14ac:dyDescent="0.2">
      <c r="A5" s="6" t="s">
        <v>35</v>
      </c>
      <c r="B5" s="6">
        <v>17</v>
      </c>
      <c r="C5" s="6">
        <v>12</v>
      </c>
      <c r="D5" s="7">
        <f>SUM(Tabella134[[#This Row],[UAV solver time]:[BSS solver time]])</f>
        <v>13.775385125</v>
      </c>
      <c r="E5" s="6">
        <v>1</v>
      </c>
      <c r="F5" s="6">
        <v>6</v>
      </c>
      <c r="G5" s="8">
        <v>13.759795292</v>
      </c>
      <c r="H5" s="8">
        <v>1.55898329999999E-2</v>
      </c>
      <c r="I5" s="6">
        <v>17</v>
      </c>
      <c r="J5" s="6">
        <v>12</v>
      </c>
      <c r="K5" s="10">
        <f>SUM(Tabella134[[#This Row],[DARP time]:[PP BSS time]])</f>
        <v>1.5610000000000001E-3</v>
      </c>
      <c r="L5" s="9">
        <v>1</v>
      </c>
      <c r="M5" s="6">
        <v>6</v>
      </c>
      <c r="N5" s="10">
        <v>5.7000000000000003E-5</v>
      </c>
      <c r="O5" s="10">
        <v>1.036E-3</v>
      </c>
      <c r="P5" s="10">
        <v>3.01E-4</v>
      </c>
      <c r="Q5" s="10">
        <v>1.6699999999999999E-4</v>
      </c>
    </row>
    <row r="7" spans="1:22" x14ac:dyDescent="0.2">
      <c r="B7" s="12">
        <f>AVERAGE(Tabella134[Misson time OPT])</f>
        <v>17</v>
      </c>
      <c r="C7" s="12">
        <f>AVERAGE(Tabella134[Cumulative energy OPT])</f>
        <v>12</v>
      </c>
      <c r="D7" s="4">
        <f>AVERAGE(Tabella134[Execution Time OPT])</f>
        <v>10.005111263999998</v>
      </c>
      <c r="E7" s="12">
        <f>AVERAGE(Tabella134[[O BSS used ]])</f>
        <v>1</v>
      </c>
      <c r="F7" s="12">
        <f>AVERAGE(Tabella134[O Batteries used])</f>
        <v>6</v>
      </c>
      <c r="G7" s="4"/>
      <c r="H7" s="4"/>
      <c r="I7" s="12">
        <f>AVERAGE(Tabella134[Misson time H])</f>
        <v>17</v>
      </c>
      <c r="J7" s="12">
        <f>AVERAGE(Tabella134[Cumulative energy H])</f>
        <v>12</v>
      </c>
      <c r="K7" s="11">
        <f>AVERAGE(Tabella134[Execution Time H])</f>
        <v>2.2466666666666663E-3</v>
      </c>
      <c r="L7" s="12">
        <f>AVERAGE(Tabella134[H BSS Used])</f>
        <v>1</v>
      </c>
      <c r="M7" s="12">
        <f>AVERAGE(Tabella134[H Batteries used])</f>
        <v>6</v>
      </c>
    </row>
    <row r="16" spans="1:22" ht="18" x14ac:dyDescent="0.2">
      <c r="V16" s="2" t="s">
        <v>9</v>
      </c>
    </row>
    <row r="33" spans="23:23" ht="18" x14ac:dyDescent="0.2">
      <c r="W33" s="2" t="s">
        <v>8</v>
      </c>
    </row>
    <row r="50" spans="22:22" ht="18" x14ac:dyDescent="0.2">
      <c r="V50" s="3" t="s">
        <v>1</v>
      </c>
    </row>
  </sheetData>
  <mergeCells count="2">
    <mergeCell ref="B1:D1"/>
    <mergeCell ref="I1:Q1"/>
  </mergeCells>
  <phoneticPr fontId="4" type="noConversion"/>
  <pageMargins left="0.7" right="0.7" top="0.75" bottom="0.75" header="0.3" footer="0.3"/>
  <pageSetup paperSize="9" orientation="portrait" horizontalDpi="0" verticalDpi="0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4C8EB-AB7A-7744-9DD9-0BD9488EA444}">
  <dimension ref="A1:R5"/>
  <sheetViews>
    <sheetView topLeftCell="C33" zoomScale="75" zoomScaleNormal="90" workbookViewId="0">
      <selection activeCell="D45" sqref="D45"/>
    </sheetView>
  </sheetViews>
  <sheetFormatPr baseColWidth="10" defaultRowHeight="16" x14ac:dyDescent="0.2"/>
  <cols>
    <col min="1" max="1" width="21.6640625" bestFit="1" customWidth="1"/>
    <col min="2" max="2" width="17.5" customWidth="1"/>
    <col min="3" max="3" width="22.83203125" customWidth="1"/>
    <col min="4" max="4" width="20" customWidth="1"/>
    <col min="5" max="5" width="13.33203125" customWidth="1"/>
    <col min="6" max="6" width="17.1640625" customWidth="1"/>
    <col min="7" max="7" width="15.5" customWidth="1"/>
    <col min="8" max="8" width="20.83203125" customWidth="1"/>
    <col min="9" max="9" width="18" customWidth="1"/>
    <col min="10" max="10" width="13.1640625" customWidth="1"/>
    <col min="11" max="11" width="17.1640625" customWidth="1"/>
    <col min="12" max="12" width="14.33203125" bestFit="1" customWidth="1"/>
    <col min="13" max="13" width="19.33203125" bestFit="1" customWidth="1"/>
    <col min="14" max="14" width="16" bestFit="1" customWidth="1"/>
    <col min="15" max="15" width="11.5" bestFit="1" customWidth="1"/>
    <col min="16" max="16" width="14.1640625" bestFit="1" customWidth="1"/>
  </cols>
  <sheetData>
    <row r="1" spans="1:18" x14ac:dyDescent="0.2">
      <c r="A1" s="13" t="s">
        <v>45</v>
      </c>
      <c r="B1" s="27" t="s">
        <v>55</v>
      </c>
      <c r="C1" s="27"/>
      <c r="D1" s="27"/>
      <c r="E1" s="14"/>
      <c r="F1" s="14"/>
      <c r="G1" s="28" t="s">
        <v>56</v>
      </c>
      <c r="H1" s="28"/>
      <c r="I1" s="28"/>
      <c r="J1" s="28"/>
      <c r="K1" s="28"/>
      <c r="L1" s="29" t="s">
        <v>46</v>
      </c>
      <c r="M1" s="29"/>
      <c r="N1" s="29"/>
      <c r="O1" s="29"/>
      <c r="P1" s="29"/>
    </row>
    <row r="2" spans="1:18" x14ac:dyDescent="0.2">
      <c r="A2" s="17" t="s">
        <v>13</v>
      </c>
      <c r="B2" s="17" t="s">
        <v>2</v>
      </c>
      <c r="C2" s="17" t="s">
        <v>3</v>
      </c>
      <c r="D2" s="17" t="s">
        <v>4</v>
      </c>
      <c r="E2" s="17" t="s">
        <v>14</v>
      </c>
      <c r="F2" s="17" t="s">
        <v>16</v>
      </c>
      <c r="G2" s="17" t="s">
        <v>5</v>
      </c>
      <c r="H2" s="17" t="s">
        <v>6</v>
      </c>
      <c r="I2" s="17" t="s">
        <v>7</v>
      </c>
      <c r="J2" s="17" t="s">
        <v>15</v>
      </c>
      <c r="K2" s="17" t="s">
        <v>17</v>
      </c>
      <c r="L2" s="17" t="s">
        <v>9</v>
      </c>
      <c r="M2" s="17" t="s">
        <v>58</v>
      </c>
      <c r="N2" s="17" t="s">
        <v>57</v>
      </c>
      <c r="O2" s="17" t="s">
        <v>59</v>
      </c>
      <c r="P2" s="17" t="s">
        <v>8</v>
      </c>
    </row>
    <row r="3" spans="1:18" x14ac:dyDescent="0.2">
      <c r="A3" s="16" t="s">
        <v>47</v>
      </c>
      <c r="B3" s="16">
        <f>'with_swap-22%bsp-1depot'!B13</f>
        <v>37</v>
      </c>
      <c r="C3" s="16">
        <f>'with_swap-22%bsp-1depot'!C13</f>
        <v>36</v>
      </c>
      <c r="D3" s="16">
        <f>'with_swap-22%bsp-1depot'!D13</f>
        <v>77.199494981444289</v>
      </c>
      <c r="E3" s="16">
        <f>'with_swap-22%bsp-1depot'!E13</f>
        <v>1</v>
      </c>
      <c r="F3" s="16">
        <f>'with_swap-22%bsp-1depot'!F13</f>
        <v>2</v>
      </c>
      <c r="G3" s="16">
        <f>'with_swap-22%bsp-1depot'!I13</f>
        <v>37.555555555555557</v>
      </c>
      <c r="H3" s="16">
        <f>'with_swap-22%bsp-1depot'!J13</f>
        <v>41.111111111111114</v>
      </c>
      <c r="I3" s="16">
        <f>'with_swap-22%bsp-1depot'!K13</f>
        <v>3.918594388888889E-3</v>
      </c>
      <c r="J3" s="16">
        <f>'with_swap-22%bsp-1depot'!L13</f>
        <v>1</v>
      </c>
      <c r="K3" s="16">
        <f>'with_swap-22%bsp-1depot'!M13</f>
        <v>2.5555555555555554</v>
      </c>
      <c r="L3" s="21">
        <f>(Tabella5[[#This Row],[Misson time H]]-Tabella5[[#This Row],[Misson time OPT]])/Tabella5[[#This Row],[Misson time OPT]]+0.000001</f>
        <v>1.5016015015015058E-2</v>
      </c>
      <c r="M3" s="21">
        <f>(Tabella5[[#This Row],[Cumulative energy H]]-Tabella5[[#This Row],[Cumulative energy OPT]])/Tabella5[[#This Row],[Cumulative energy OPT]]+0.00001</f>
        <v>0.14198530864197539</v>
      </c>
      <c r="N3" s="21">
        <f>(Tabella5[[#This Row],[H BSS Used]]-Tabella5[[#This Row],[O BSS used ]])/Tabella5[[#This Row],[O BSS used ]]+0.000001</f>
        <v>9.9999999999999995E-7</v>
      </c>
      <c r="O3" s="21">
        <f>(Tabella5[[#This Row],[H Batteries used]]-Tabella5[[#This Row],[O Batteries used]])/Tabella5[[#This Row],[O Batteries used]]+0.000001</f>
        <v>0.27777877777777765</v>
      </c>
      <c r="P3" s="18">
        <f>(Tabella5[[#This Row],[Execution Time H]]-Tabella5[[#This Row],[Execution Time OPT]])/Tabella5[[#This Row],[Execution Time OPT]]</f>
        <v>-0.9999492406732734</v>
      </c>
      <c r="R3">
        <f>((Tabella5[[#This Row],[Execution Time OPT]]-Tabella5[[#This Row],[Execution Time H]])/Tabella5[[#This Row],[Execution Time OPT]])*100</f>
        <v>99.994924067327347</v>
      </c>
    </row>
    <row r="4" spans="1:18" x14ac:dyDescent="0.2">
      <c r="A4" s="16" t="s">
        <v>48</v>
      </c>
      <c r="B4" s="16">
        <f>'with_swap-33%bsp-1depot'!B11</f>
        <v>13</v>
      </c>
      <c r="C4" s="16">
        <f>'with_swap-33%bsp-1depot'!C11</f>
        <v>24.428571428571427</v>
      </c>
      <c r="D4" s="16">
        <f>'with_swap-33%bsp-1depot'!D11</f>
        <v>10.697389094999979</v>
      </c>
      <c r="E4" s="16">
        <f>'with_swap-33%bsp-1depot'!E11</f>
        <v>1.8571428571428572</v>
      </c>
      <c r="F4" s="16">
        <f>'with_swap-33%bsp-1depot'!F11</f>
        <v>4</v>
      </c>
      <c r="G4" s="16">
        <f>'with_swap-33%bsp-1depot'!I11</f>
        <v>13</v>
      </c>
      <c r="H4" s="16">
        <f>'with_swap-33%bsp-1depot'!J11</f>
        <v>30.142857142857142</v>
      </c>
      <c r="I4" s="16">
        <f>'with_swap-33%bsp-1depot'!K11</f>
        <v>3.2925571428571429E-2</v>
      </c>
      <c r="J4" s="16">
        <f>'with_swap-33%bsp-1depot'!L11</f>
        <v>1.4285714285714286</v>
      </c>
      <c r="K4" s="16">
        <f>'with_swap-33%bsp-1depot'!M11</f>
        <v>4</v>
      </c>
      <c r="L4" s="22">
        <f>(Tabella5[[#This Row],[Misson time H]]-Tabella5[[#This Row],[Misson time OPT]])/Tabella5[[#This Row],[Misson time OPT]]+0.000001</f>
        <v>9.9999999999999995E-7</v>
      </c>
      <c r="M4" s="23">
        <f>(Tabella5[[#This Row],[Cumulative energy H]]-Tabella5[[#This Row],[Cumulative energy OPT]])/Tabella5[[#This Row],[Cumulative energy OPT]]+0.00001</f>
        <v>0.23392812865497081</v>
      </c>
      <c r="N4" s="23">
        <f>(Tabella5[[#This Row],[H BSS Used]]-Tabella5[[#This Row],[O BSS used ]])/Tabella5[[#This Row],[O BSS used ]]+0.000001</f>
        <v>-0.23076823076923078</v>
      </c>
      <c r="O4" s="23">
        <f>(Tabella5[[#This Row],[H Batteries used]]-Tabella5[[#This Row],[O Batteries used]])/Tabella5[[#This Row],[O Batteries used]]+0.000001</f>
        <v>9.9999999999999995E-7</v>
      </c>
      <c r="P4" s="20">
        <f>(Tabella5[[#This Row],[Execution Time H]]-Tabella5[[#This Row],[Execution Time OPT]])/Tabella5[[#This Row],[Execution Time OPT]]</f>
        <v>-0.99692209275215016</v>
      </c>
      <c r="R4">
        <f>((Tabella5[[#This Row],[Execution Time OPT]]-Tabella5[[#This Row],[Execution Time H]])/Tabella5[[#This Row],[Execution Time OPT]])*100</f>
        <v>99.692209275215021</v>
      </c>
    </row>
    <row r="5" spans="1:18" x14ac:dyDescent="0.2">
      <c r="A5" s="16" t="s">
        <v>49</v>
      </c>
      <c r="B5" s="16">
        <f>'with_swap-100%bsp-1depot'!B7</f>
        <v>17</v>
      </c>
      <c r="C5" s="16">
        <f>'with_swap-100%bsp-1depot'!C7</f>
        <v>12</v>
      </c>
      <c r="D5" s="16">
        <f>'with_swap-100%bsp-1depot'!D7</f>
        <v>10.005111263999998</v>
      </c>
      <c r="E5" s="16">
        <f>'with_swap-100%bsp-1depot'!E7</f>
        <v>1</v>
      </c>
      <c r="F5" s="16">
        <f>'with_swap-100%bsp-1depot'!F7</f>
        <v>6</v>
      </c>
      <c r="G5" s="16">
        <f>'with_swap-100%bsp-1depot'!I7</f>
        <v>17</v>
      </c>
      <c r="H5" s="16">
        <f>'with_swap-100%bsp-1depot'!J7</f>
        <v>12</v>
      </c>
      <c r="I5" s="16">
        <f>'with_swap-100%bsp-1depot'!K7</f>
        <v>2.2466666666666663E-3</v>
      </c>
      <c r="J5" s="16">
        <f>'with_swap-100%bsp-1depot'!L7</f>
        <v>1</v>
      </c>
      <c r="K5" s="16">
        <f>'with_swap-100%bsp-1depot'!M7</f>
        <v>6</v>
      </c>
      <c r="L5" s="22">
        <f>(Tabella5[[#This Row],[Misson time H]]-Tabella5[[#This Row],[Misson time OPT]])/Tabella5[[#This Row],[Misson time OPT]]+0.000001</f>
        <v>9.9999999999999995E-7</v>
      </c>
      <c r="M5" s="23">
        <f>(Tabella5[[#This Row],[Cumulative energy H]]-Tabella5[[#This Row],[Cumulative energy OPT]])/Tabella5[[#This Row],[Cumulative energy OPT]]+0.00001</f>
        <v>1.0000000000000001E-5</v>
      </c>
      <c r="N5" s="23">
        <f>(Tabella5[[#This Row],[H BSS Used]]-Tabella5[[#This Row],[O BSS used ]])/Tabella5[[#This Row],[O BSS used ]]+0.000001</f>
        <v>9.9999999999999995E-7</v>
      </c>
      <c r="O5" s="23">
        <f>(Tabella5[[#This Row],[H Batteries used]]-Tabella5[[#This Row],[O Batteries used]])/Tabella5[[#This Row],[O Batteries used]]+0.000001</f>
        <v>9.9999999999999995E-7</v>
      </c>
      <c r="P5" s="20">
        <f>(Tabella5[[#This Row],[Execution Time H]]-Tabella5[[#This Row],[Execution Time OPT]])/Tabella5[[#This Row],[Execution Time OPT]]</f>
        <v>-0.99977544810773367</v>
      </c>
      <c r="R5">
        <f>((Tabella5[[#This Row],[Execution Time OPT]]-Tabella5[[#This Row],[Execution Time H]])/Tabella5[[#This Row],[Execution Time OPT]])*100</f>
        <v>99.977544810773367</v>
      </c>
    </row>
  </sheetData>
  <mergeCells count="3">
    <mergeCell ref="B1:D1"/>
    <mergeCell ref="G1:K1"/>
    <mergeCell ref="L1:P1"/>
  </mergeCells>
  <phoneticPr fontId="4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no_swap</vt:lpstr>
      <vt:lpstr>with_swap-22%bsp-1depot</vt:lpstr>
      <vt:lpstr>with_swap-33%bsp-1depot</vt:lpstr>
      <vt:lpstr>with_swap-100%bsp-1depot</vt:lpstr>
      <vt:lpstr>with_swap-summary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2023-03-01T09:55:32Z</dcterms:created>
  <dcterms:modified xsi:type="dcterms:W3CDTF">2023-04-18T21:51:04Z</dcterms:modified>
</cp:coreProperties>
</file>