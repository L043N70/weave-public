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renzo/Library/CloudStorage/Dropbox/PhD - DRONE_SWARM/experiments/dubai-40-stats/"/>
    </mc:Choice>
  </mc:AlternateContent>
  <xr:revisionPtr revIDLastSave="0" documentId="13_ncr:1_{63CA0887-3FBC-5547-BA39-EF13DE7B6064}" xr6:coauthVersionLast="47" xr6:coauthVersionMax="47" xr10:uidLastSave="{00000000-0000-0000-0000-000000000000}"/>
  <bookViews>
    <workbookView xWindow="3420" yWindow="500" windowWidth="25380" windowHeight="15800" activeTab="1" xr2:uid="{00000000-000D-0000-FFFF-FFFF00000000}"/>
  </bookViews>
  <sheets>
    <sheet name="stats_DesertRegion_uav2.txt3593" sheetId="1" r:id="rId1"/>
    <sheet name="cell-per-subpat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2" l="1"/>
  <c r="K5" i="2"/>
  <c r="L5" i="2"/>
  <c r="L4" i="2"/>
  <c r="K4" i="2"/>
  <c r="J4" i="2"/>
  <c r="L3" i="2"/>
  <c r="K3" i="2"/>
  <c r="J3" i="2"/>
  <c r="I5" i="2"/>
  <c r="I4" i="2"/>
  <c r="I3" i="2"/>
  <c r="O60" i="1" l="1"/>
  <c r="P60" i="1"/>
  <c r="Q60" i="1"/>
  <c r="R60" i="1"/>
  <c r="S60" i="1"/>
  <c r="T60" i="1"/>
  <c r="U60" i="1"/>
  <c r="V60" i="1"/>
  <c r="W60" i="1"/>
  <c r="X60" i="1"/>
  <c r="Z60" i="1"/>
  <c r="AA60" i="1"/>
  <c r="AB60" i="1"/>
  <c r="AC60" i="1"/>
  <c r="N60" i="1"/>
</calcChain>
</file>

<file path=xl/sharedStrings.xml><?xml version="1.0" encoding="utf-8"?>
<sst xmlns="http://schemas.openxmlformats.org/spreadsheetml/2006/main" count="389" uniqueCount="45">
  <si>
    <t>macro_grid_resolution</t>
  </si>
  <si>
    <t>micro_grid_resolution</t>
  </si>
  <si>
    <t>micro_grid_dimension_cells</t>
  </si>
  <si>
    <t>no_fly_zone_cells</t>
  </si>
  <si>
    <t>no_fly_zone_%_of_scenario_cells</t>
  </si>
  <si>
    <t>roi_dimension_cells</t>
  </si>
  <si>
    <t>roi_dimension_%_of_scenario_cells</t>
  </si>
  <si>
    <t>roads_cells</t>
  </si>
  <si>
    <t>roads_%_of_roi_cells</t>
  </si>
  <si>
    <t>starting_weather_conditions</t>
  </si>
  <si>
    <t>starting_uavs_autonomy_cells</t>
  </si>
  <si>
    <t>weather_forecasts</t>
  </si>
  <si>
    <t>max_number_of_uavs</t>
  </si>
  <si>
    <t>number_of_bsss_used</t>
  </si>
  <si>
    <t>cumulative_energy_used_by_uavs</t>
  </si>
  <si>
    <t>cumulative_energy_wasted_by_uavs</t>
  </si>
  <si>
    <t>cumulative_number_of_batteries_used_by_uavs</t>
  </si>
  <si>
    <t>mission_time_seconds</t>
  </si>
  <si>
    <t>bsss_mission_time_seconds</t>
  </si>
  <si>
    <t>cumulative_swap_time_seconds</t>
  </si>
  <si>
    <t>darp_execution_time_seconds</t>
  </si>
  <si>
    <t>stc_execution_time_seconds</t>
  </si>
  <si>
    <t>pp_uavs_execution_time_seconds</t>
  </si>
  <si>
    <t>pp_bsss_execution_time_seconds</t>
  </si>
  <si>
    <t>total_execution_time_seconds</t>
  </si>
  <si>
    <t>darpfailures</t>
  </si>
  <si>
    <t>ppbssfailures</t>
  </si>
  <si>
    <t>ppuavfailures</t>
  </si>
  <si>
    <t>ppweatherfailures</t>
  </si>
  <si>
    <t>40x40</t>
  </si>
  <si>
    <t>80x80</t>
  </si>
  <si>
    <t>Optimal</t>
  </si>
  <si>
    <t>Static</t>
  </si>
  <si>
    <t>UAV 1</t>
  </si>
  <si>
    <t>UAV 2</t>
  </si>
  <si>
    <t>energy</t>
  </si>
  <si>
    <t>Colonna1</t>
  </si>
  <si>
    <t>Colonna2</t>
  </si>
  <si>
    <t>Colonna3</t>
  </si>
  <si>
    <t>Colonna4</t>
  </si>
  <si>
    <t>Colonna5</t>
  </si>
  <si>
    <t xml:space="preserve">1st </t>
  </si>
  <si>
    <t>2nd</t>
  </si>
  <si>
    <t>3rd</t>
  </si>
  <si>
    <t>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</si>
</sst>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42" applyNumberFormat="1" applyFont="1"/>
    <xf numFmtId="164" fontId="16" fillId="0" borderId="0" xfId="42" applyNumberFormat="1" applyFont="1"/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Percentuale" xfId="42" builtinId="5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a1" displayName="Tabella1" ref="A1:AC60" totalsRowCount="1">
  <autoFilter ref="A1:AC59" xr:uid="{00000000-0009-0000-0100-000001000000}"/>
  <tableColumns count="29">
    <tableColumn id="1" xr3:uid="{00000000-0010-0000-0000-000001000000}" name="macro_grid_resolution"/>
    <tableColumn id="2" xr3:uid="{00000000-0010-0000-0000-000002000000}" name="micro_grid_resolution"/>
    <tableColumn id="3" xr3:uid="{00000000-0010-0000-0000-000003000000}" name="micro_grid_dimension_cells"/>
    <tableColumn id="4" xr3:uid="{00000000-0010-0000-0000-000004000000}" name="no_fly_zone_cells"/>
    <tableColumn id="5" xr3:uid="{00000000-0010-0000-0000-000005000000}" name="no_fly_zone_%_of_scenario_cells"/>
    <tableColumn id="6" xr3:uid="{00000000-0010-0000-0000-000006000000}" name="roi_dimension_cells"/>
    <tableColumn id="7" xr3:uid="{00000000-0010-0000-0000-000007000000}" name="roi_dimension_%_of_scenario_cells"/>
    <tableColumn id="8" xr3:uid="{00000000-0010-0000-0000-000008000000}" name="roads_cells"/>
    <tableColumn id="9" xr3:uid="{00000000-0010-0000-0000-000009000000}" name="roads_%_of_roi_cells"/>
    <tableColumn id="10" xr3:uid="{00000000-0010-0000-0000-00000A000000}" name="starting_weather_conditions"/>
    <tableColumn id="11" xr3:uid="{00000000-0010-0000-0000-00000B000000}" name="starting_uavs_autonomy_cells"/>
    <tableColumn id="12" xr3:uid="{00000000-0010-0000-0000-00000C000000}" name="weather_forecasts"/>
    <tableColumn id="13" xr3:uid="{00000000-0010-0000-0000-00000D000000}" name="max_number_of_uavs"/>
    <tableColumn id="14" xr3:uid="{00000000-0010-0000-0000-00000E000000}" name="number_of_bsss_used" totalsRowFunction="custom">
      <totalsRowFormula>AVERAGE(Tabella1[number_of_bsss_used])</totalsRowFormula>
    </tableColumn>
    <tableColumn id="15" xr3:uid="{00000000-0010-0000-0000-00000F000000}" name="cumulative_energy_used_by_uavs" totalsRowFunction="custom">
      <totalsRowFormula>AVERAGE(Tabella1[cumulative_energy_used_by_uavs])</totalsRowFormula>
    </tableColumn>
    <tableColumn id="16" xr3:uid="{00000000-0010-0000-0000-000010000000}" name="cumulative_energy_wasted_by_uavs" totalsRowFunction="custom">
      <totalsRowFormula>AVERAGE(Tabella1[cumulative_energy_wasted_by_uavs])</totalsRowFormula>
    </tableColumn>
    <tableColumn id="17" xr3:uid="{00000000-0010-0000-0000-000011000000}" name="cumulative_number_of_batteries_used_by_uavs" totalsRowFunction="custom">
      <totalsRowFormula>AVERAGE(Tabella1[cumulative_number_of_batteries_used_by_uavs])</totalsRowFormula>
    </tableColumn>
    <tableColumn id="18" xr3:uid="{00000000-0010-0000-0000-000012000000}" name="mission_time_seconds" totalsRowFunction="custom">
      <totalsRowFormula>AVERAGE(Tabella1[mission_time_seconds])</totalsRowFormula>
    </tableColumn>
    <tableColumn id="19" xr3:uid="{00000000-0010-0000-0000-000013000000}" name="bsss_mission_time_seconds" totalsRowFunction="custom">
      <totalsRowFormula>AVERAGE(Tabella1[bsss_mission_time_seconds])</totalsRowFormula>
    </tableColumn>
    <tableColumn id="20" xr3:uid="{00000000-0010-0000-0000-000014000000}" name="cumulative_swap_time_seconds" totalsRowFunction="custom">
      <totalsRowFormula>AVERAGE(Tabella1[cumulative_swap_time_seconds])</totalsRowFormula>
    </tableColumn>
    <tableColumn id="21" xr3:uid="{00000000-0010-0000-0000-000015000000}" name="darp_execution_time_seconds" totalsRowFunction="custom">
      <totalsRowFormula>AVERAGE(Tabella1[darp_execution_time_seconds])</totalsRowFormula>
    </tableColumn>
    <tableColumn id="22" xr3:uid="{00000000-0010-0000-0000-000016000000}" name="stc_execution_time_seconds" totalsRowFunction="custom">
      <totalsRowFormula>AVERAGE(Tabella1[stc_execution_time_seconds])</totalsRowFormula>
    </tableColumn>
    <tableColumn id="23" xr3:uid="{00000000-0010-0000-0000-000017000000}" name="pp_uavs_execution_time_seconds" totalsRowFunction="custom">
      <totalsRowFormula>AVERAGE(Tabella1[pp_uavs_execution_time_seconds])</totalsRowFormula>
    </tableColumn>
    <tableColumn id="24" xr3:uid="{00000000-0010-0000-0000-000018000000}" name="pp_bsss_execution_time_seconds" totalsRowFunction="custom">
      <totalsRowFormula>AVERAGE(Tabella1[pp_bsss_execution_time_seconds])</totalsRowFormula>
    </tableColumn>
    <tableColumn id="25" xr3:uid="{00000000-0010-0000-0000-000019000000}" name="total_execution_time_seconds"/>
    <tableColumn id="26" xr3:uid="{00000000-0010-0000-0000-00001A000000}" name="darpfailures" totalsRowFunction="custom">
      <totalsRowFormula>AVERAGE(Tabella1[darpfailures])</totalsRowFormula>
    </tableColumn>
    <tableColumn id="27" xr3:uid="{00000000-0010-0000-0000-00001B000000}" name="ppbssfailures" totalsRowFunction="custom">
      <totalsRowFormula>AVERAGE(Tabella1[ppbssfailures])</totalsRowFormula>
    </tableColumn>
    <tableColumn id="28" xr3:uid="{00000000-0010-0000-0000-00001C000000}" name="ppuavfailures" totalsRowFunction="custom">
      <totalsRowFormula>AVERAGE(Tabella1[ppuavfailures])</totalsRowFormula>
    </tableColumn>
    <tableColumn id="29" xr3:uid="{00000000-0010-0000-0000-00001D000000}" name="ppweatherfailures" totalsRowFunction="custom">
      <totalsRowFormula>AVERAGE(Tabella1[ppweatherfailures])</totalsRow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A16DAD-AB93-6A49-B827-22C16B11F037}" name="Tabella2" displayName="Tabella2" ref="A3:E119" totalsRowShown="0">
  <autoFilter ref="A3:E119" xr:uid="{9AA16DAD-AB93-6A49-B827-22C16B11F037}"/>
  <tableColumns count="5">
    <tableColumn id="1" xr3:uid="{68A27AA3-C3DF-5647-A761-BBA910A8240D}" name="Colonna1"/>
    <tableColumn id="2" xr3:uid="{98709C16-58C1-1747-8FEE-96FBBC45997E}" name="Colonna2"/>
    <tableColumn id="3" xr3:uid="{BD286DDE-F7A9-DA41-A86C-2A52A17CCF65}" name="Colonna3"/>
    <tableColumn id="4" xr3:uid="{85EA9104-3DC3-0F4F-8535-589BEFFE7589}" name="Colonna4"/>
    <tableColumn id="5" xr3:uid="{540E10FC-92AD-C243-AAA1-C24FB35BD330}" name="Colonna5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0"/>
  <sheetViews>
    <sheetView topLeftCell="V31" workbookViewId="0">
      <selection activeCell="Y60" sqref="Y60"/>
    </sheetView>
  </sheetViews>
  <sheetFormatPr baseColWidth="10" defaultRowHeight="16" x14ac:dyDescent="0.2"/>
  <cols>
    <col min="1" max="1" width="22" customWidth="1"/>
    <col min="2" max="2" width="21.5" customWidth="1"/>
    <col min="3" max="3" width="26.5" customWidth="1"/>
    <col min="4" max="4" width="18" customWidth="1"/>
    <col min="5" max="5" width="31" customWidth="1"/>
    <col min="6" max="6" width="19.83203125" customWidth="1"/>
    <col min="7" max="7" width="32.83203125" customWidth="1"/>
    <col min="8" max="8" width="12.6640625" customWidth="1"/>
    <col min="9" max="9" width="21" customWidth="1"/>
    <col min="10" max="10" width="27" customWidth="1"/>
    <col min="11" max="11" width="28.33203125" customWidth="1"/>
    <col min="12" max="12" width="18.83203125" customWidth="1"/>
    <col min="13" max="13" width="21.6640625" customWidth="1"/>
    <col min="14" max="14" width="21.83203125" customWidth="1"/>
    <col min="15" max="15" width="31.33203125" customWidth="1"/>
    <col min="16" max="16" width="33.5" customWidth="1"/>
    <col min="17" max="17" width="43.1640625" customWidth="1"/>
    <col min="18" max="18" width="22.1640625" customWidth="1"/>
    <col min="19" max="19" width="26.6640625" customWidth="1"/>
    <col min="20" max="20" width="30.1640625" customWidth="1"/>
    <col min="21" max="21" width="28.33203125" customWidth="1"/>
    <col min="22" max="22" width="27" customWidth="1"/>
    <col min="23" max="23" width="31.33203125" customWidth="1"/>
    <col min="24" max="24" width="31.1640625" customWidth="1"/>
    <col min="25" max="25" width="28.5" customWidth="1"/>
    <col min="26" max="26" width="13.33203125" customWidth="1"/>
    <col min="27" max="27" width="14.33203125" customWidth="1"/>
    <col min="28" max="28" width="14.5" customWidth="1"/>
    <col min="29" max="29" width="18.5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 t="s">
        <v>29</v>
      </c>
      <c r="B2" t="s">
        <v>30</v>
      </c>
      <c r="C2">
        <v>6400</v>
      </c>
      <c r="D2">
        <v>2148</v>
      </c>
      <c r="E2">
        <v>33.56</v>
      </c>
      <c r="F2">
        <v>4252</v>
      </c>
      <c r="G2">
        <v>66.44</v>
      </c>
      <c r="H2">
        <v>1616</v>
      </c>
      <c r="I2">
        <v>38.01</v>
      </c>
      <c r="J2" t="s">
        <v>31</v>
      </c>
      <c r="K2">
        <v>600</v>
      </c>
      <c r="L2" t="s">
        <v>32</v>
      </c>
      <c r="M2">
        <v>2</v>
      </c>
      <c r="N2">
        <v>2</v>
      </c>
      <c r="O2">
        <v>4270</v>
      </c>
      <c r="P2">
        <v>18</v>
      </c>
      <c r="Q2">
        <v>8</v>
      </c>
      <c r="R2">
        <v>2668</v>
      </c>
      <c r="S2">
        <v>139</v>
      </c>
      <c r="T2">
        <v>1080</v>
      </c>
      <c r="U2">
        <v>0.78651400000000005</v>
      </c>
      <c r="V2">
        <v>4.7605000000000001E-2</v>
      </c>
      <c r="W2">
        <v>1.9139999999999999E-3</v>
      </c>
      <c r="X2">
        <v>2.9750000000000002E-3</v>
      </c>
      <c r="Y2">
        <v>0.83908000000000005</v>
      </c>
      <c r="Z2">
        <v>0</v>
      </c>
      <c r="AA2">
        <v>0</v>
      </c>
      <c r="AB2">
        <v>0</v>
      </c>
      <c r="AC2">
        <v>0</v>
      </c>
    </row>
    <row r="3" spans="1:29" x14ac:dyDescent="0.2">
      <c r="A3" t="s">
        <v>29</v>
      </c>
      <c r="B3" t="s">
        <v>30</v>
      </c>
      <c r="C3">
        <v>6400</v>
      </c>
      <c r="D3">
        <v>2148</v>
      </c>
      <c r="E3">
        <v>33.56</v>
      </c>
      <c r="F3">
        <v>4252</v>
      </c>
      <c r="G3">
        <v>66.44</v>
      </c>
      <c r="H3">
        <v>1616</v>
      </c>
      <c r="I3">
        <v>38.01</v>
      </c>
      <c r="J3" t="s">
        <v>31</v>
      </c>
      <c r="K3">
        <v>600</v>
      </c>
      <c r="L3" t="s">
        <v>32</v>
      </c>
      <c r="M3">
        <v>2</v>
      </c>
      <c r="N3">
        <v>2</v>
      </c>
      <c r="O3">
        <v>4266</v>
      </c>
      <c r="P3">
        <v>14</v>
      </c>
      <c r="Q3">
        <v>8</v>
      </c>
      <c r="R3">
        <v>2668</v>
      </c>
      <c r="S3">
        <v>146</v>
      </c>
      <c r="T3">
        <v>1080</v>
      </c>
      <c r="U3">
        <v>0.92661800000000005</v>
      </c>
      <c r="V3">
        <v>4.5862E-2</v>
      </c>
      <c r="W3">
        <v>2.1299999999999999E-3</v>
      </c>
      <c r="X3">
        <v>2.6970000000000002E-3</v>
      </c>
      <c r="Y3">
        <v>0.97737600000000002</v>
      </c>
      <c r="Z3">
        <v>3</v>
      </c>
      <c r="AA3">
        <v>0</v>
      </c>
      <c r="AB3">
        <v>0</v>
      </c>
      <c r="AC3">
        <v>0</v>
      </c>
    </row>
    <row r="4" spans="1:29" x14ac:dyDescent="0.2">
      <c r="A4" t="s">
        <v>29</v>
      </c>
      <c r="B4" t="s">
        <v>30</v>
      </c>
      <c r="C4">
        <v>6400</v>
      </c>
      <c r="D4">
        <v>2148</v>
      </c>
      <c r="E4">
        <v>33.56</v>
      </c>
      <c r="F4">
        <v>4252</v>
      </c>
      <c r="G4">
        <v>66.44</v>
      </c>
      <c r="H4">
        <v>1616</v>
      </c>
      <c r="I4">
        <v>38.01</v>
      </c>
      <c r="J4" t="s">
        <v>31</v>
      </c>
      <c r="K4">
        <v>600</v>
      </c>
      <c r="L4" t="s">
        <v>32</v>
      </c>
      <c r="M4">
        <v>2</v>
      </c>
      <c r="N4">
        <v>2</v>
      </c>
      <c r="O4">
        <v>4270</v>
      </c>
      <c r="P4">
        <v>18</v>
      </c>
      <c r="Q4">
        <v>8</v>
      </c>
      <c r="R4">
        <v>2668</v>
      </c>
      <c r="S4">
        <v>131</v>
      </c>
      <c r="T4">
        <v>1080</v>
      </c>
      <c r="U4">
        <v>0.60431999999999997</v>
      </c>
      <c r="V4">
        <v>4.2778999999999998E-2</v>
      </c>
      <c r="W4">
        <v>1.8270000000000001E-3</v>
      </c>
      <c r="X4">
        <v>1.848E-3</v>
      </c>
      <c r="Y4">
        <v>0.65084600000000004</v>
      </c>
      <c r="Z4">
        <v>4</v>
      </c>
      <c r="AA4">
        <v>0</v>
      </c>
      <c r="AB4">
        <v>0</v>
      </c>
      <c r="AC4">
        <v>0</v>
      </c>
    </row>
    <row r="5" spans="1:29" x14ac:dyDescent="0.2">
      <c r="A5" t="s">
        <v>29</v>
      </c>
      <c r="B5" t="s">
        <v>30</v>
      </c>
      <c r="C5">
        <v>6400</v>
      </c>
      <c r="D5">
        <v>2148</v>
      </c>
      <c r="E5">
        <v>33.56</v>
      </c>
      <c r="F5">
        <v>4252</v>
      </c>
      <c r="G5">
        <v>66.44</v>
      </c>
      <c r="H5">
        <v>1616</v>
      </c>
      <c r="I5">
        <v>38.01</v>
      </c>
      <c r="J5" t="s">
        <v>31</v>
      </c>
      <c r="K5">
        <v>600</v>
      </c>
      <c r="L5" t="s">
        <v>32</v>
      </c>
      <c r="M5">
        <v>2</v>
      </c>
      <c r="N5">
        <v>2</v>
      </c>
      <c r="O5">
        <v>4274</v>
      </c>
      <c r="P5">
        <v>22</v>
      </c>
      <c r="Q5">
        <v>8</v>
      </c>
      <c r="R5">
        <v>2668</v>
      </c>
      <c r="S5">
        <v>145</v>
      </c>
      <c r="T5">
        <v>1080</v>
      </c>
      <c r="U5">
        <v>1.2499910000000001</v>
      </c>
      <c r="V5">
        <v>4.3629000000000001E-2</v>
      </c>
      <c r="W5">
        <v>1.854E-3</v>
      </c>
      <c r="X5">
        <v>4.8099999999999998E-4</v>
      </c>
      <c r="Y5">
        <v>1.296022</v>
      </c>
      <c r="Z5">
        <v>8</v>
      </c>
      <c r="AA5">
        <v>0</v>
      </c>
      <c r="AB5">
        <v>0</v>
      </c>
      <c r="AC5">
        <v>0</v>
      </c>
    </row>
    <row r="6" spans="1:29" x14ac:dyDescent="0.2">
      <c r="A6" t="s">
        <v>29</v>
      </c>
      <c r="B6" t="s">
        <v>30</v>
      </c>
      <c r="C6">
        <v>6400</v>
      </c>
      <c r="D6">
        <v>2148</v>
      </c>
      <c r="E6">
        <v>33.56</v>
      </c>
      <c r="F6">
        <v>4252</v>
      </c>
      <c r="G6">
        <v>66.44</v>
      </c>
      <c r="H6">
        <v>1616</v>
      </c>
      <c r="I6">
        <v>38.01</v>
      </c>
      <c r="J6" t="s">
        <v>31</v>
      </c>
      <c r="K6">
        <v>600</v>
      </c>
      <c r="L6" t="s">
        <v>32</v>
      </c>
      <c r="M6">
        <v>2</v>
      </c>
      <c r="N6">
        <v>2</v>
      </c>
      <c r="O6">
        <v>4302</v>
      </c>
      <c r="P6">
        <v>50</v>
      </c>
      <c r="Q6">
        <v>8</v>
      </c>
      <c r="R6">
        <v>2668</v>
      </c>
      <c r="S6">
        <v>151</v>
      </c>
      <c r="T6">
        <v>1080</v>
      </c>
      <c r="U6">
        <v>1.724753</v>
      </c>
      <c r="V6">
        <v>4.4005000000000002E-2</v>
      </c>
      <c r="W6">
        <v>1.828E-3</v>
      </c>
      <c r="X6">
        <v>7.012E-3</v>
      </c>
      <c r="Y6">
        <v>1.777757</v>
      </c>
      <c r="Z6">
        <v>11</v>
      </c>
      <c r="AA6">
        <v>0</v>
      </c>
      <c r="AB6">
        <v>0</v>
      </c>
      <c r="AC6">
        <v>0</v>
      </c>
    </row>
    <row r="7" spans="1:29" x14ac:dyDescent="0.2">
      <c r="A7" t="s">
        <v>29</v>
      </c>
      <c r="B7" t="s">
        <v>30</v>
      </c>
      <c r="C7">
        <v>6400</v>
      </c>
      <c r="D7">
        <v>2148</v>
      </c>
      <c r="E7">
        <v>33.56</v>
      </c>
      <c r="F7">
        <v>4252</v>
      </c>
      <c r="G7">
        <v>66.44</v>
      </c>
      <c r="H7">
        <v>1616</v>
      </c>
      <c r="I7">
        <v>38.01</v>
      </c>
      <c r="J7" t="s">
        <v>31</v>
      </c>
      <c r="K7">
        <v>600</v>
      </c>
      <c r="L7" t="s">
        <v>32</v>
      </c>
      <c r="M7">
        <v>2</v>
      </c>
      <c r="N7">
        <v>2</v>
      </c>
      <c r="O7">
        <v>4266</v>
      </c>
      <c r="P7">
        <v>14</v>
      </c>
      <c r="Q7">
        <v>8</v>
      </c>
      <c r="R7">
        <v>2668</v>
      </c>
      <c r="S7">
        <v>148</v>
      </c>
      <c r="T7">
        <v>1080</v>
      </c>
      <c r="U7">
        <v>1.4730780000000001</v>
      </c>
      <c r="V7">
        <v>4.2202000000000003E-2</v>
      </c>
      <c r="W7">
        <v>1.774E-3</v>
      </c>
      <c r="X7">
        <v>6.0020000000000004E-3</v>
      </c>
      <c r="Y7">
        <v>1.523145</v>
      </c>
      <c r="Z7">
        <v>11</v>
      </c>
      <c r="AA7">
        <v>0</v>
      </c>
      <c r="AB7">
        <v>0</v>
      </c>
      <c r="AC7">
        <v>0</v>
      </c>
    </row>
    <row r="8" spans="1:29" x14ac:dyDescent="0.2">
      <c r="A8" t="s">
        <v>29</v>
      </c>
      <c r="B8" t="s">
        <v>30</v>
      </c>
      <c r="C8">
        <v>6400</v>
      </c>
      <c r="D8">
        <v>2148</v>
      </c>
      <c r="E8">
        <v>33.56</v>
      </c>
      <c r="F8">
        <v>4252</v>
      </c>
      <c r="G8">
        <v>66.44</v>
      </c>
      <c r="H8">
        <v>1616</v>
      </c>
      <c r="I8">
        <v>38.01</v>
      </c>
      <c r="J8" t="s">
        <v>31</v>
      </c>
      <c r="K8">
        <v>600</v>
      </c>
      <c r="L8" t="s">
        <v>32</v>
      </c>
      <c r="M8">
        <v>2</v>
      </c>
      <c r="N8">
        <v>2</v>
      </c>
      <c r="O8">
        <v>4283</v>
      </c>
      <c r="P8">
        <v>31</v>
      </c>
      <c r="Q8">
        <v>8</v>
      </c>
      <c r="R8">
        <v>2668</v>
      </c>
      <c r="S8">
        <v>180</v>
      </c>
      <c r="T8">
        <v>1080</v>
      </c>
      <c r="U8">
        <v>0.65401699999999996</v>
      </c>
      <c r="V8">
        <v>4.2215999999999997E-2</v>
      </c>
      <c r="W8">
        <v>1.688E-3</v>
      </c>
      <c r="X8">
        <v>2.7130000000000001E-3</v>
      </c>
      <c r="Y8">
        <v>0.70071399999999995</v>
      </c>
      <c r="Z8">
        <v>12</v>
      </c>
      <c r="AA8">
        <v>0</v>
      </c>
      <c r="AB8">
        <v>0</v>
      </c>
      <c r="AC8">
        <v>0</v>
      </c>
    </row>
    <row r="9" spans="1:29" x14ac:dyDescent="0.2">
      <c r="A9" t="s">
        <v>29</v>
      </c>
      <c r="B9" t="s">
        <v>30</v>
      </c>
      <c r="C9">
        <v>6400</v>
      </c>
      <c r="D9">
        <v>2148</v>
      </c>
      <c r="E9">
        <v>33.56</v>
      </c>
      <c r="F9">
        <v>4252</v>
      </c>
      <c r="G9">
        <v>66.44</v>
      </c>
      <c r="H9">
        <v>1616</v>
      </c>
      <c r="I9">
        <v>38.01</v>
      </c>
      <c r="J9" t="s">
        <v>31</v>
      </c>
      <c r="K9">
        <v>600</v>
      </c>
      <c r="L9" t="s">
        <v>32</v>
      </c>
      <c r="M9">
        <v>2</v>
      </c>
      <c r="N9">
        <v>2</v>
      </c>
      <c r="O9">
        <v>4276</v>
      </c>
      <c r="P9">
        <v>24</v>
      </c>
      <c r="Q9">
        <v>8</v>
      </c>
      <c r="R9">
        <v>2668</v>
      </c>
      <c r="S9">
        <v>151</v>
      </c>
      <c r="T9">
        <v>1080</v>
      </c>
      <c r="U9">
        <v>0.41320400000000002</v>
      </c>
      <c r="V9">
        <v>4.4732000000000001E-2</v>
      </c>
      <c r="W9">
        <v>1.7179999999999999E-3</v>
      </c>
      <c r="X9">
        <v>4.7200000000000002E-3</v>
      </c>
      <c r="Y9">
        <v>0.46444099999999999</v>
      </c>
      <c r="Z9">
        <v>15</v>
      </c>
      <c r="AA9">
        <v>0</v>
      </c>
      <c r="AB9">
        <v>0</v>
      </c>
      <c r="AC9">
        <v>0</v>
      </c>
    </row>
    <row r="10" spans="1:29" x14ac:dyDescent="0.2">
      <c r="A10" t="s">
        <v>29</v>
      </c>
      <c r="B10" t="s">
        <v>30</v>
      </c>
      <c r="C10">
        <v>6400</v>
      </c>
      <c r="D10">
        <v>2148</v>
      </c>
      <c r="E10">
        <v>33.56</v>
      </c>
      <c r="F10">
        <v>4252</v>
      </c>
      <c r="G10">
        <v>66.44</v>
      </c>
      <c r="H10">
        <v>1616</v>
      </c>
      <c r="I10">
        <v>38.01</v>
      </c>
      <c r="J10" t="s">
        <v>31</v>
      </c>
      <c r="K10">
        <v>600</v>
      </c>
      <c r="L10" t="s">
        <v>32</v>
      </c>
      <c r="M10">
        <v>2</v>
      </c>
      <c r="N10">
        <v>2</v>
      </c>
      <c r="O10">
        <v>4272</v>
      </c>
      <c r="P10">
        <v>20</v>
      </c>
      <c r="Q10">
        <v>8</v>
      </c>
      <c r="R10">
        <v>2668</v>
      </c>
      <c r="S10">
        <v>138</v>
      </c>
      <c r="T10">
        <v>1080</v>
      </c>
      <c r="U10">
        <v>1.6546400000000001</v>
      </c>
      <c r="V10">
        <v>4.1919999999999999E-2</v>
      </c>
      <c r="W10">
        <v>1.786E-3</v>
      </c>
      <c r="X10">
        <v>2.3180000000000002E-3</v>
      </c>
      <c r="Y10">
        <v>1.7007380000000001</v>
      </c>
      <c r="Z10">
        <v>15</v>
      </c>
      <c r="AA10">
        <v>0</v>
      </c>
      <c r="AB10">
        <v>0</v>
      </c>
      <c r="AC10">
        <v>0</v>
      </c>
    </row>
    <row r="11" spans="1:29" x14ac:dyDescent="0.2">
      <c r="A11" t="s">
        <v>29</v>
      </c>
      <c r="B11" t="s">
        <v>30</v>
      </c>
      <c r="C11">
        <v>6400</v>
      </c>
      <c r="D11">
        <v>2148</v>
      </c>
      <c r="E11">
        <v>33.56</v>
      </c>
      <c r="F11">
        <v>4252</v>
      </c>
      <c r="G11">
        <v>66.44</v>
      </c>
      <c r="H11">
        <v>1616</v>
      </c>
      <c r="I11">
        <v>38.01</v>
      </c>
      <c r="J11" t="s">
        <v>31</v>
      </c>
      <c r="K11">
        <v>600</v>
      </c>
      <c r="L11" t="s">
        <v>32</v>
      </c>
      <c r="M11">
        <v>2</v>
      </c>
      <c r="N11">
        <v>2</v>
      </c>
      <c r="O11">
        <v>4302</v>
      </c>
      <c r="P11">
        <v>50</v>
      </c>
      <c r="Q11">
        <v>8</v>
      </c>
      <c r="R11">
        <v>2668</v>
      </c>
      <c r="S11">
        <v>161</v>
      </c>
      <c r="T11">
        <v>1080</v>
      </c>
      <c r="U11">
        <v>1.7949809999999999</v>
      </c>
      <c r="V11">
        <v>4.2715999999999997E-2</v>
      </c>
      <c r="W11">
        <v>1.712E-3</v>
      </c>
      <c r="X11">
        <v>1.0070000000000001E-3</v>
      </c>
      <c r="Y11">
        <v>1.8404830000000001</v>
      </c>
      <c r="Z11">
        <v>15</v>
      </c>
      <c r="AA11">
        <v>0</v>
      </c>
      <c r="AB11">
        <v>0</v>
      </c>
      <c r="AC11">
        <v>0</v>
      </c>
    </row>
    <row r="12" spans="1:29" x14ac:dyDescent="0.2">
      <c r="A12" t="s">
        <v>29</v>
      </c>
      <c r="B12" t="s">
        <v>30</v>
      </c>
      <c r="C12">
        <v>6400</v>
      </c>
      <c r="D12">
        <v>2148</v>
      </c>
      <c r="E12">
        <v>33.56</v>
      </c>
      <c r="F12">
        <v>4252</v>
      </c>
      <c r="G12">
        <v>66.44</v>
      </c>
      <c r="H12">
        <v>1616</v>
      </c>
      <c r="I12">
        <v>38.01</v>
      </c>
      <c r="J12" t="s">
        <v>31</v>
      </c>
      <c r="K12">
        <v>600</v>
      </c>
      <c r="L12" t="s">
        <v>32</v>
      </c>
      <c r="M12">
        <v>2</v>
      </c>
      <c r="N12">
        <v>2</v>
      </c>
      <c r="O12">
        <v>4266</v>
      </c>
      <c r="P12">
        <v>14</v>
      </c>
      <c r="Q12">
        <v>8</v>
      </c>
      <c r="R12">
        <v>2668</v>
      </c>
      <c r="S12">
        <v>153</v>
      </c>
      <c r="T12">
        <v>1080</v>
      </c>
      <c r="U12">
        <v>0.71121199999999996</v>
      </c>
      <c r="V12">
        <v>4.1770000000000002E-2</v>
      </c>
      <c r="W12">
        <v>1.7600000000000001E-3</v>
      </c>
      <c r="X12">
        <v>7.0219999999999996E-3</v>
      </c>
      <c r="Y12">
        <v>0.76183199999999995</v>
      </c>
      <c r="Z12">
        <v>15</v>
      </c>
      <c r="AA12">
        <v>0</v>
      </c>
      <c r="AB12">
        <v>0</v>
      </c>
      <c r="AC12">
        <v>0</v>
      </c>
    </row>
    <row r="13" spans="1:29" x14ac:dyDescent="0.2">
      <c r="A13" t="s">
        <v>29</v>
      </c>
      <c r="B13" t="s">
        <v>30</v>
      </c>
      <c r="C13">
        <v>6400</v>
      </c>
      <c r="D13">
        <v>2148</v>
      </c>
      <c r="E13">
        <v>33.56</v>
      </c>
      <c r="F13">
        <v>4252</v>
      </c>
      <c r="G13">
        <v>66.44</v>
      </c>
      <c r="H13">
        <v>1616</v>
      </c>
      <c r="I13">
        <v>38.01</v>
      </c>
      <c r="J13" t="s">
        <v>31</v>
      </c>
      <c r="K13">
        <v>600</v>
      </c>
      <c r="L13" t="s">
        <v>32</v>
      </c>
      <c r="M13">
        <v>2</v>
      </c>
      <c r="N13">
        <v>2</v>
      </c>
      <c r="O13">
        <v>4282</v>
      </c>
      <c r="P13">
        <v>30</v>
      </c>
      <c r="Q13">
        <v>8</v>
      </c>
      <c r="R13">
        <v>2668</v>
      </c>
      <c r="S13">
        <v>196</v>
      </c>
      <c r="T13">
        <v>1080</v>
      </c>
      <c r="U13">
        <v>0.53364400000000001</v>
      </c>
      <c r="V13">
        <v>4.2381000000000002E-2</v>
      </c>
      <c r="W13">
        <v>1.7329999999999999E-3</v>
      </c>
      <c r="X13">
        <v>3.1110000000000001E-3</v>
      </c>
      <c r="Y13">
        <v>0.58093600000000001</v>
      </c>
      <c r="Z13">
        <v>16</v>
      </c>
      <c r="AA13">
        <v>0</v>
      </c>
      <c r="AB13">
        <v>0</v>
      </c>
      <c r="AC13">
        <v>0</v>
      </c>
    </row>
    <row r="14" spans="1:29" x14ac:dyDescent="0.2">
      <c r="A14" t="s">
        <v>29</v>
      </c>
      <c r="B14" t="s">
        <v>30</v>
      </c>
      <c r="C14">
        <v>6400</v>
      </c>
      <c r="D14">
        <v>2148</v>
      </c>
      <c r="E14">
        <v>33.56</v>
      </c>
      <c r="F14">
        <v>4252</v>
      </c>
      <c r="G14">
        <v>66.44</v>
      </c>
      <c r="H14">
        <v>1616</v>
      </c>
      <c r="I14">
        <v>38.01</v>
      </c>
      <c r="J14" t="s">
        <v>31</v>
      </c>
      <c r="K14">
        <v>600</v>
      </c>
      <c r="L14" t="s">
        <v>32</v>
      </c>
      <c r="M14">
        <v>2</v>
      </c>
      <c r="N14">
        <v>2</v>
      </c>
      <c r="O14">
        <v>4274</v>
      </c>
      <c r="P14">
        <v>22</v>
      </c>
      <c r="Q14">
        <v>8</v>
      </c>
      <c r="R14">
        <v>2668</v>
      </c>
      <c r="S14">
        <v>136</v>
      </c>
      <c r="T14">
        <v>1080</v>
      </c>
      <c r="U14">
        <v>0.97806499999999996</v>
      </c>
      <c r="V14">
        <v>4.1702000000000003E-2</v>
      </c>
      <c r="W14">
        <v>1.753E-3</v>
      </c>
      <c r="X14">
        <v>2.627E-3</v>
      </c>
      <c r="Y14">
        <v>1.0242359999999999</v>
      </c>
      <c r="Z14">
        <v>16</v>
      </c>
      <c r="AA14">
        <v>0</v>
      </c>
      <c r="AB14">
        <v>0</v>
      </c>
      <c r="AC14">
        <v>0</v>
      </c>
    </row>
    <row r="15" spans="1:29" x14ac:dyDescent="0.2">
      <c r="A15" t="s">
        <v>29</v>
      </c>
      <c r="B15" t="s">
        <v>30</v>
      </c>
      <c r="C15">
        <v>6400</v>
      </c>
      <c r="D15">
        <v>2148</v>
      </c>
      <c r="E15">
        <v>33.56</v>
      </c>
      <c r="F15">
        <v>4252</v>
      </c>
      <c r="G15">
        <v>66.44</v>
      </c>
      <c r="H15">
        <v>1616</v>
      </c>
      <c r="I15">
        <v>38.01</v>
      </c>
      <c r="J15" t="s">
        <v>31</v>
      </c>
      <c r="K15">
        <v>600</v>
      </c>
      <c r="L15" t="s">
        <v>32</v>
      </c>
      <c r="M15">
        <v>2</v>
      </c>
      <c r="N15">
        <v>2</v>
      </c>
      <c r="O15">
        <v>4278</v>
      </c>
      <c r="P15">
        <v>26</v>
      </c>
      <c r="Q15">
        <v>8</v>
      </c>
      <c r="R15">
        <v>2668</v>
      </c>
      <c r="S15">
        <v>142</v>
      </c>
      <c r="T15">
        <v>1080</v>
      </c>
      <c r="U15">
        <v>0.47219800000000001</v>
      </c>
      <c r="V15">
        <v>4.3628E-2</v>
      </c>
      <c r="W15">
        <v>1.712E-3</v>
      </c>
      <c r="X15">
        <v>4.0920000000000002E-3</v>
      </c>
      <c r="Y15">
        <v>0.52171400000000001</v>
      </c>
      <c r="Z15">
        <v>17</v>
      </c>
      <c r="AA15">
        <v>0</v>
      </c>
      <c r="AB15">
        <v>0</v>
      </c>
      <c r="AC15">
        <v>0</v>
      </c>
    </row>
    <row r="16" spans="1:29" x14ac:dyDescent="0.2">
      <c r="A16" t="s">
        <v>29</v>
      </c>
      <c r="B16" t="s">
        <v>30</v>
      </c>
      <c r="C16">
        <v>6400</v>
      </c>
      <c r="D16">
        <v>2148</v>
      </c>
      <c r="E16">
        <v>33.56</v>
      </c>
      <c r="F16">
        <v>4252</v>
      </c>
      <c r="G16">
        <v>66.44</v>
      </c>
      <c r="H16">
        <v>1616</v>
      </c>
      <c r="I16">
        <v>38.01</v>
      </c>
      <c r="J16" t="s">
        <v>31</v>
      </c>
      <c r="K16">
        <v>600</v>
      </c>
      <c r="L16" t="s">
        <v>32</v>
      </c>
      <c r="M16">
        <v>2</v>
      </c>
      <c r="N16">
        <v>2</v>
      </c>
      <c r="O16">
        <v>4274</v>
      </c>
      <c r="P16">
        <v>22</v>
      </c>
      <c r="Q16">
        <v>8</v>
      </c>
      <c r="R16">
        <v>2668</v>
      </c>
      <c r="S16">
        <v>171</v>
      </c>
      <c r="T16">
        <v>1080</v>
      </c>
      <c r="U16">
        <v>0.55941200000000002</v>
      </c>
      <c r="V16">
        <v>4.3645000000000003E-2</v>
      </c>
      <c r="W16">
        <v>1.763E-3</v>
      </c>
      <c r="X16">
        <v>2.3839999999999998E-3</v>
      </c>
      <c r="Y16">
        <v>0.60727200000000003</v>
      </c>
      <c r="Z16">
        <v>19</v>
      </c>
      <c r="AA16">
        <v>0</v>
      </c>
      <c r="AB16">
        <v>0</v>
      </c>
      <c r="AC16">
        <v>0</v>
      </c>
    </row>
    <row r="17" spans="1:29" x14ac:dyDescent="0.2">
      <c r="A17" t="s">
        <v>29</v>
      </c>
      <c r="B17" t="s">
        <v>30</v>
      </c>
      <c r="C17">
        <v>6400</v>
      </c>
      <c r="D17">
        <v>2148</v>
      </c>
      <c r="E17">
        <v>33.56</v>
      </c>
      <c r="F17">
        <v>4252</v>
      </c>
      <c r="G17">
        <v>66.44</v>
      </c>
      <c r="H17">
        <v>1616</v>
      </c>
      <c r="I17">
        <v>38.01</v>
      </c>
      <c r="J17" t="s">
        <v>31</v>
      </c>
      <c r="K17">
        <v>600</v>
      </c>
      <c r="L17" t="s">
        <v>32</v>
      </c>
      <c r="M17">
        <v>2</v>
      </c>
      <c r="N17">
        <v>2</v>
      </c>
      <c r="O17">
        <v>4270</v>
      </c>
      <c r="P17">
        <v>18</v>
      </c>
      <c r="Q17">
        <v>8</v>
      </c>
      <c r="R17">
        <v>2668</v>
      </c>
      <c r="S17">
        <v>141</v>
      </c>
      <c r="T17">
        <v>1080</v>
      </c>
      <c r="U17">
        <v>0.551979</v>
      </c>
      <c r="V17">
        <v>4.3159000000000003E-2</v>
      </c>
      <c r="W17">
        <v>1.7669999999999999E-3</v>
      </c>
      <c r="X17">
        <v>3.1089999999999998E-3</v>
      </c>
      <c r="Y17">
        <v>0.60008300000000003</v>
      </c>
      <c r="Z17">
        <v>19</v>
      </c>
      <c r="AA17">
        <v>0</v>
      </c>
      <c r="AB17">
        <v>0</v>
      </c>
      <c r="AC17">
        <v>0</v>
      </c>
    </row>
    <row r="18" spans="1:29" x14ac:dyDescent="0.2">
      <c r="A18" t="s">
        <v>29</v>
      </c>
      <c r="B18" t="s">
        <v>30</v>
      </c>
      <c r="C18">
        <v>6400</v>
      </c>
      <c r="D18">
        <v>2148</v>
      </c>
      <c r="E18">
        <v>33.56</v>
      </c>
      <c r="F18">
        <v>4252</v>
      </c>
      <c r="G18">
        <v>66.44</v>
      </c>
      <c r="H18">
        <v>1616</v>
      </c>
      <c r="I18">
        <v>38.01</v>
      </c>
      <c r="J18" t="s">
        <v>31</v>
      </c>
      <c r="K18">
        <v>600</v>
      </c>
      <c r="L18" t="s">
        <v>32</v>
      </c>
      <c r="M18">
        <v>2</v>
      </c>
      <c r="N18">
        <v>2</v>
      </c>
      <c r="O18">
        <v>4276</v>
      </c>
      <c r="P18">
        <v>24</v>
      </c>
      <c r="Q18">
        <v>8</v>
      </c>
      <c r="R18">
        <v>2668</v>
      </c>
      <c r="S18">
        <v>138</v>
      </c>
      <c r="T18">
        <v>1080</v>
      </c>
      <c r="U18">
        <v>0.40349299999999999</v>
      </c>
      <c r="V18">
        <v>4.2502999999999999E-2</v>
      </c>
      <c r="W18">
        <v>1.779E-3</v>
      </c>
      <c r="X18">
        <v>2.2079999999999999E-3</v>
      </c>
      <c r="Y18">
        <v>0.45005000000000001</v>
      </c>
      <c r="Z18">
        <v>19</v>
      </c>
      <c r="AA18">
        <v>0</v>
      </c>
      <c r="AB18">
        <v>0</v>
      </c>
      <c r="AC18">
        <v>0</v>
      </c>
    </row>
    <row r="19" spans="1:29" x14ac:dyDescent="0.2">
      <c r="A19" t="s">
        <v>29</v>
      </c>
      <c r="B19" t="s">
        <v>30</v>
      </c>
      <c r="C19">
        <v>6400</v>
      </c>
      <c r="D19">
        <v>2148</v>
      </c>
      <c r="E19">
        <v>33.56</v>
      </c>
      <c r="F19">
        <v>4252</v>
      </c>
      <c r="G19">
        <v>66.44</v>
      </c>
      <c r="H19">
        <v>1616</v>
      </c>
      <c r="I19">
        <v>38.01</v>
      </c>
      <c r="J19" t="s">
        <v>31</v>
      </c>
      <c r="K19">
        <v>600</v>
      </c>
      <c r="L19" t="s">
        <v>32</v>
      </c>
      <c r="M19">
        <v>2</v>
      </c>
      <c r="N19">
        <v>2</v>
      </c>
      <c r="O19">
        <v>4274</v>
      </c>
      <c r="P19">
        <v>22</v>
      </c>
      <c r="Q19">
        <v>8</v>
      </c>
      <c r="R19">
        <v>2668</v>
      </c>
      <c r="S19">
        <v>139</v>
      </c>
      <c r="T19">
        <v>1080</v>
      </c>
      <c r="U19">
        <v>0.50558800000000004</v>
      </c>
      <c r="V19">
        <v>4.4643000000000002E-2</v>
      </c>
      <c r="W19">
        <v>1.7080000000000001E-3</v>
      </c>
      <c r="X19">
        <v>4.8110000000000002E-3</v>
      </c>
      <c r="Y19">
        <v>0.55682200000000004</v>
      </c>
      <c r="Z19">
        <v>20</v>
      </c>
      <c r="AA19">
        <v>0</v>
      </c>
      <c r="AB19">
        <v>0</v>
      </c>
      <c r="AC19">
        <v>0</v>
      </c>
    </row>
    <row r="20" spans="1:29" x14ac:dyDescent="0.2">
      <c r="A20" t="s">
        <v>29</v>
      </c>
      <c r="B20" t="s">
        <v>30</v>
      </c>
      <c r="C20">
        <v>6400</v>
      </c>
      <c r="D20">
        <v>2148</v>
      </c>
      <c r="E20">
        <v>33.56</v>
      </c>
      <c r="F20">
        <v>4252</v>
      </c>
      <c r="G20">
        <v>66.44</v>
      </c>
      <c r="H20">
        <v>1616</v>
      </c>
      <c r="I20">
        <v>38.01</v>
      </c>
      <c r="J20" t="s">
        <v>31</v>
      </c>
      <c r="K20">
        <v>600</v>
      </c>
      <c r="L20" t="s">
        <v>32</v>
      </c>
      <c r="M20">
        <v>2</v>
      </c>
      <c r="N20">
        <v>2</v>
      </c>
      <c r="O20">
        <v>4274</v>
      </c>
      <c r="P20">
        <v>22</v>
      </c>
      <c r="Q20">
        <v>8</v>
      </c>
      <c r="R20">
        <v>2668</v>
      </c>
      <c r="S20">
        <v>153</v>
      </c>
      <c r="T20">
        <v>1080</v>
      </c>
      <c r="U20">
        <v>1.0041329999999999</v>
      </c>
      <c r="V20">
        <v>4.4229999999999998E-2</v>
      </c>
      <c r="W20">
        <v>1.74E-3</v>
      </c>
      <c r="X20">
        <v>7.5170000000000002E-3</v>
      </c>
      <c r="Y20">
        <v>1.057693</v>
      </c>
      <c r="Z20">
        <v>22</v>
      </c>
      <c r="AA20">
        <v>0</v>
      </c>
      <c r="AB20">
        <v>0</v>
      </c>
      <c r="AC20">
        <v>0</v>
      </c>
    </row>
    <row r="21" spans="1:29" x14ac:dyDescent="0.2">
      <c r="A21" t="s">
        <v>29</v>
      </c>
      <c r="B21" t="s">
        <v>30</v>
      </c>
      <c r="C21">
        <v>6400</v>
      </c>
      <c r="D21">
        <v>2148</v>
      </c>
      <c r="E21">
        <v>33.56</v>
      </c>
      <c r="F21">
        <v>4252</v>
      </c>
      <c r="G21">
        <v>66.44</v>
      </c>
      <c r="H21">
        <v>1616</v>
      </c>
      <c r="I21">
        <v>38.01</v>
      </c>
      <c r="J21" t="s">
        <v>31</v>
      </c>
      <c r="K21">
        <v>600</v>
      </c>
      <c r="L21" t="s">
        <v>32</v>
      </c>
      <c r="M21">
        <v>2</v>
      </c>
      <c r="N21">
        <v>2</v>
      </c>
      <c r="O21">
        <v>4276</v>
      </c>
      <c r="P21">
        <v>24</v>
      </c>
      <c r="Q21">
        <v>8</v>
      </c>
      <c r="R21">
        <v>2668</v>
      </c>
      <c r="S21">
        <v>131</v>
      </c>
      <c r="T21">
        <v>1080</v>
      </c>
      <c r="U21">
        <v>0.70871600000000001</v>
      </c>
      <c r="V21">
        <v>4.4184000000000001E-2</v>
      </c>
      <c r="W21">
        <v>1.696E-3</v>
      </c>
      <c r="X21">
        <v>4.2659999999999998E-3</v>
      </c>
      <c r="Y21">
        <v>0.75894700000000004</v>
      </c>
      <c r="Z21">
        <v>23</v>
      </c>
      <c r="AA21">
        <v>0</v>
      </c>
      <c r="AB21">
        <v>0</v>
      </c>
      <c r="AC21">
        <v>0</v>
      </c>
    </row>
    <row r="22" spans="1:29" x14ac:dyDescent="0.2">
      <c r="A22" t="s">
        <v>29</v>
      </c>
      <c r="B22" t="s">
        <v>30</v>
      </c>
      <c r="C22">
        <v>6400</v>
      </c>
      <c r="D22">
        <v>2148</v>
      </c>
      <c r="E22">
        <v>33.56</v>
      </c>
      <c r="F22">
        <v>4252</v>
      </c>
      <c r="G22">
        <v>66.44</v>
      </c>
      <c r="H22">
        <v>1616</v>
      </c>
      <c r="I22">
        <v>38.01</v>
      </c>
      <c r="J22" t="s">
        <v>31</v>
      </c>
      <c r="K22">
        <v>600</v>
      </c>
      <c r="L22" t="s">
        <v>32</v>
      </c>
      <c r="M22">
        <v>2</v>
      </c>
      <c r="N22">
        <v>2</v>
      </c>
      <c r="O22">
        <v>4276</v>
      </c>
      <c r="P22">
        <v>24</v>
      </c>
      <c r="Q22">
        <v>8</v>
      </c>
      <c r="R22">
        <v>2668</v>
      </c>
      <c r="S22">
        <v>138</v>
      </c>
      <c r="T22">
        <v>1080</v>
      </c>
      <c r="U22">
        <v>1.4488799999999999</v>
      </c>
      <c r="V22">
        <v>4.2241000000000001E-2</v>
      </c>
      <c r="W22">
        <v>1.688E-3</v>
      </c>
      <c r="X22">
        <v>2.2009999999999998E-3</v>
      </c>
      <c r="Y22">
        <v>1.4950840000000001</v>
      </c>
      <c r="Z22">
        <v>23</v>
      </c>
      <c r="AA22">
        <v>0</v>
      </c>
      <c r="AB22">
        <v>0</v>
      </c>
      <c r="AC22">
        <v>0</v>
      </c>
    </row>
    <row r="23" spans="1:29" x14ac:dyDescent="0.2">
      <c r="A23" t="s">
        <v>29</v>
      </c>
      <c r="B23" t="s">
        <v>30</v>
      </c>
      <c r="C23">
        <v>6400</v>
      </c>
      <c r="D23">
        <v>2148</v>
      </c>
      <c r="E23">
        <v>33.56</v>
      </c>
      <c r="F23">
        <v>4252</v>
      </c>
      <c r="G23">
        <v>66.44</v>
      </c>
      <c r="H23">
        <v>1616</v>
      </c>
      <c r="I23">
        <v>38.01</v>
      </c>
      <c r="J23" t="s">
        <v>31</v>
      </c>
      <c r="K23">
        <v>600</v>
      </c>
      <c r="L23" t="s">
        <v>32</v>
      </c>
      <c r="M23">
        <v>2</v>
      </c>
      <c r="N23">
        <v>2</v>
      </c>
      <c r="O23">
        <v>4445</v>
      </c>
      <c r="P23">
        <v>193</v>
      </c>
      <c r="Q23">
        <v>8</v>
      </c>
      <c r="R23">
        <v>2668</v>
      </c>
      <c r="S23">
        <v>147</v>
      </c>
      <c r="T23">
        <v>1080</v>
      </c>
      <c r="U23">
        <v>1.5344390000000001</v>
      </c>
      <c r="V23">
        <v>4.1939999999999998E-2</v>
      </c>
      <c r="W23">
        <v>1.7730000000000001E-3</v>
      </c>
      <c r="X23">
        <v>3.3500000000000001E-3</v>
      </c>
      <c r="Y23">
        <v>1.5815760000000001</v>
      </c>
      <c r="Z23">
        <v>23</v>
      </c>
      <c r="AA23">
        <v>0</v>
      </c>
      <c r="AB23">
        <v>0</v>
      </c>
      <c r="AC23">
        <v>0</v>
      </c>
    </row>
    <row r="24" spans="1:29" x14ac:dyDescent="0.2">
      <c r="A24" t="s">
        <v>29</v>
      </c>
      <c r="B24" t="s">
        <v>30</v>
      </c>
      <c r="C24">
        <v>6400</v>
      </c>
      <c r="D24">
        <v>2148</v>
      </c>
      <c r="E24">
        <v>33.56</v>
      </c>
      <c r="F24">
        <v>4252</v>
      </c>
      <c r="G24">
        <v>66.44</v>
      </c>
      <c r="H24">
        <v>1616</v>
      </c>
      <c r="I24">
        <v>38.01</v>
      </c>
      <c r="J24" t="s">
        <v>31</v>
      </c>
      <c r="K24">
        <v>600</v>
      </c>
      <c r="L24" t="s">
        <v>32</v>
      </c>
      <c r="M24">
        <v>2</v>
      </c>
      <c r="N24">
        <v>2</v>
      </c>
      <c r="O24">
        <v>4334</v>
      </c>
      <c r="P24">
        <v>82</v>
      </c>
      <c r="Q24">
        <v>8</v>
      </c>
      <c r="R24">
        <v>2668</v>
      </c>
      <c r="S24">
        <v>128</v>
      </c>
      <c r="T24">
        <v>1080</v>
      </c>
      <c r="U24">
        <v>1.784375</v>
      </c>
      <c r="V24">
        <v>4.2446999999999999E-2</v>
      </c>
      <c r="W24">
        <v>1.735E-3</v>
      </c>
      <c r="X24">
        <v>2.4099999999999998E-3</v>
      </c>
      <c r="Y24">
        <v>1.8310340000000001</v>
      </c>
      <c r="Z24">
        <v>23</v>
      </c>
      <c r="AA24">
        <v>0</v>
      </c>
      <c r="AB24">
        <v>0</v>
      </c>
      <c r="AC24">
        <v>0</v>
      </c>
    </row>
    <row r="25" spans="1:29" x14ac:dyDescent="0.2">
      <c r="A25" t="s">
        <v>29</v>
      </c>
      <c r="B25" t="s">
        <v>30</v>
      </c>
      <c r="C25">
        <v>6400</v>
      </c>
      <c r="D25">
        <v>2148</v>
      </c>
      <c r="E25">
        <v>33.56</v>
      </c>
      <c r="F25">
        <v>4252</v>
      </c>
      <c r="G25">
        <v>66.44</v>
      </c>
      <c r="H25">
        <v>1616</v>
      </c>
      <c r="I25">
        <v>38.01</v>
      </c>
      <c r="J25" t="s">
        <v>31</v>
      </c>
      <c r="K25">
        <v>600</v>
      </c>
      <c r="L25" t="s">
        <v>32</v>
      </c>
      <c r="M25">
        <v>2</v>
      </c>
      <c r="N25">
        <v>2</v>
      </c>
      <c r="O25">
        <v>4272</v>
      </c>
      <c r="P25">
        <v>20</v>
      </c>
      <c r="Q25">
        <v>8</v>
      </c>
      <c r="R25">
        <v>2668</v>
      </c>
      <c r="S25">
        <v>136</v>
      </c>
      <c r="T25">
        <v>1080</v>
      </c>
      <c r="U25">
        <v>1.445093</v>
      </c>
      <c r="V25">
        <v>4.1398999999999998E-2</v>
      </c>
      <c r="W25">
        <v>1.717E-3</v>
      </c>
      <c r="X25">
        <v>2.088E-3</v>
      </c>
      <c r="Y25">
        <v>1.4903630000000001</v>
      </c>
      <c r="Z25">
        <v>23</v>
      </c>
      <c r="AA25">
        <v>0</v>
      </c>
      <c r="AB25">
        <v>0</v>
      </c>
      <c r="AC25">
        <v>0</v>
      </c>
    </row>
    <row r="26" spans="1:29" x14ac:dyDescent="0.2">
      <c r="A26" t="s">
        <v>29</v>
      </c>
      <c r="B26" t="s">
        <v>30</v>
      </c>
      <c r="C26">
        <v>6400</v>
      </c>
      <c r="D26">
        <v>2148</v>
      </c>
      <c r="E26">
        <v>33.56</v>
      </c>
      <c r="F26">
        <v>4252</v>
      </c>
      <c r="G26">
        <v>66.44</v>
      </c>
      <c r="H26">
        <v>1616</v>
      </c>
      <c r="I26">
        <v>38.01</v>
      </c>
      <c r="J26" t="s">
        <v>31</v>
      </c>
      <c r="K26">
        <v>600</v>
      </c>
      <c r="L26" t="s">
        <v>32</v>
      </c>
      <c r="M26">
        <v>2</v>
      </c>
      <c r="N26">
        <v>2</v>
      </c>
      <c r="O26">
        <v>4282</v>
      </c>
      <c r="P26">
        <v>30</v>
      </c>
      <c r="Q26">
        <v>8</v>
      </c>
      <c r="R26">
        <v>2668</v>
      </c>
      <c r="S26">
        <v>152</v>
      </c>
      <c r="T26">
        <v>1080</v>
      </c>
      <c r="U26">
        <v>0.539682</v>
      </c>
      <c r="V26">
        <v>4.1438999999999997E-2</v>
      </c>
      <c r="W26">
        <v>1.7290000000000001E-3</v>
      </c>
      <c r="X26">
        <v>5.2050000000000004E-3</v>
      </c>
      <c r="Y26">
        <v>0.58811999999999998</v>
      </c>
      <c r="Z26">
        <v>23</v>
      </c>
      <c r="AA26">
        <v>0</v>
      </c>
      <c r="AB26">
        <v>0</v>
      </c>
      <c r="AC26">
        <v>0</v>
      </c>
    </row>
    <row r="27" spans="1:29" x14ac:dyDescent="0.2">
      <c r="A27" t="s">
        <v>29</v>
      </c>
      <c r="B27" t="s">
        <v>30</v>
      </c>
      <c r="C27">
        <v>6400</v>
      </c>
      <c r="D27">
        <v>2148</v>
      </c>
      <c r="E27">
        <v>33.56</v>
      </c>
      <c r="F27">
        <v>4252</v>
      </c>
      <c r="G27">
        <v>66.44</v>
      </c>
      <c r="H27">
        <v>1616</v>
      </c>
      <c r="I27">
        <v>38.01</v>
      </c>
      <c r="J27" t="s">
        <v>31</v>
      </c>
      <c r="K27">
        <v>600</v>
      </c>
      <c r="L27" t="s">
        <v>32</v>
      </c>
      <c r="M27">
        <v>2</v>
      </c>
      <c r="N27">
        <v>2</v>
      </c>
      <c r="O27">
        <v>4268</v>
      </c>
      <c r="P27">
        <v>16</v>
      </c>
      <c r="Q27">
        <v>8</v>
      </c>
      <c r="R27">
        <v>2668</v>
      </c>
      <c r="S27">
        <v>174</v>
      </c>
      <c r="T27">
        <v>1080</v>
      </c>
      <c r="U27">
        <v>1.654407</v>
      </c>
      <c r="V27">
        <v>4.1806000000000003E-2</v>
      </c>
      <c r="W27">
        <v>1.671E-3</v>
      </c>
      <c r="X27">
        <v>3.5590000000000001E-3</v>
      </c>
      <c r="Y27">
        <v>1.701532</v>
      </c>
      <c r="Z27">
        <v>23</v>
      </c>
      <c r="AA27">
        <v>0</v>
      </c>
      <c r="AB27">
        <v>0</v>
      </c>
      <c r="AC27">
        <v>0</v>
      </c>
    </row>
    <row r="28" spans="1:29" x14ac:dyDescent="0.2">
      <c r="A28" t="s">
        <v>29</v>
      </c>
      <c r="B28" t="s">
        <v>30</v>
      </c>
      <c r="C28">
        <v>6400</v>
      </c>
      <c r="D28">
        <v>2148</v>
      </c>
      <c r="E28">
        <v>33.56</v>
      </c>
      <c r="F28">
        <v>4252</v>
      </c>
      <c r="G28">
        <v>66.44</v>
      </c>
      <c r="H28">
        <v>1616</v>
      </c>
      <c r="I28">
        <v>38.01</v>
      </c>
      <c r="J28" t="s">
        <v>31</v>
      </c>
      <c r="K28">
        <v>600</v>
      </c>
      <c r="L28" t="s">
        <v>32</v>
      </c>
      <c r="M28">
        <v>2</v>
      </c>
      <c r="N28">
        <v>2</v>
      </c>
      <c r="O28">
        <v>4424</v>
      </c>
      <c r="P28">
        <v>172</v>
      </c>
      <c r="Q28">
        <v>8</v>
      </c>
      <c r="R28">
        <v>2668</v>
      </c>
      <c r="S28">
        <v>130</v>
      </c>
      <c r="T28">
        <v>1080</v>
      </c>
      <c r="U28">
        <v>1.577807</v>
      </c>
      <c r="V28">
        <v>4.2147999999999998E-2</v>
      </c>
      <c r="W28">
        <v>1.779E-3</v>
      </c>
      <c r="X28">
        <v>3.3430000000000001E-3</v>
      </c>
      <c r="Y28">
        <v>1.6251469999999999</v>
      </c>
      <c r="Z28">
        <v>24</v>
      </c>
      <c r="AA28">
        <v>0</v>
      </c>
      <c r="AB28">
        <v>0</v>
      </c>
      <c r="AC28">
        <v>0</v>
      </c>
    </row>
    <row r="29" spans="1:29" x14ac:dyDescent="0.2">
      <c r="A29" t="s">
        <v>29</v>
      </c>
      <c r="B29" t="s">
        <v>30</v>
      </c>
      <c r="C29">
        <v>6400</v>
      </c>
      <c r="D29">
        <v>2148</v>
      </c>
      <c r="E29">
        <v>33.56</v>
      </c>
      <c r="F29">
        <v>4252</v>
      </c>
      <c r="G29">
        <v>66.44</v>
      </c>
      <c r="H29">
        <v>1616</v>
      </c>
      <c r="I29">
        <v>38.01</v>
      </c>
      <c r="J29" t="s">
        <v>31</v>
      </c>
      <c r="K29">
        <v>600</v>
      </c>
      <c r="L29" t="s">
        <v>32</v>
      </c>
      <c r="M29">
        <v>2</v>
      </c>
      <c r="N29">
        <v>2</v>
      </c>
      <c r="O29">
        <v>4274</v>
      </c>
      <c r="P29">
        <v>22</v>
      </c>
      <c r="Q29">
        <v>8</v>
      </c>
      <c r="R29">
        <v>2668</v>
      </c>
      <c r="S29">
        <v>153</v>
      </c>
      <c r="T29">
        <v>1080</v>
      </c>
      <c r="U29">
        <v>0.71243100000000004</v>
      </c>
      <c r="V29">
        <v>4.1472000000000002E-2</v>
      </c>
      <c r="W29">
        <v>1.7210000000000001E-3</v>
      </c>
      <c r="X29">
        <v>7.5059999999999997E-3</v>
      </c>
      <c r="Y29">
        <v>0.763208</v>
      </c>
      <c r="Z29">
        <v>24</v>
      </c>
      <c r="AA29">
        <v>0</v>
      </c>
      <c r="AB29">
        <v>0</v>
      </c>
      <c r="AC29">
        <v>0</v>
      </c>
    </row>
    <row r="30" spans="1:29" x14ac:dyDescent="0.2">
      <c r="A30" t="s">
        <v>29</v>
      </c>
      <c r="B30" t="s">
        <v>30</v>
      </c>
      <c r="C30">
        <v>6400</v>
      </c>
      <c r="D30">
        <v>2148</v>
      </c>
      <c r="E30">
        <v>33.56</v>
      </c>
      <c r="F30">
        <v>4252</v>
      </c>
      <c r="G30">
        <v>66.44</v>
      </c>
      <c r="H30">
        <v>1616</v>
      </c>
      <c r="I30">
        <v>38.01</v>
      </c>
      <c r="J30" t="s">
        <v>31</v>
      </c>
      <c r="K30">
        <v>600</v>
      </c>
      <c r="L30" t="s">
        <v>32</v>
      </c>
      <c r="M30">
        <v>2</v>
      </c>
      <c r="N30">
        <v>2</v>
      </c>
      <c r="O30">
        <v>4266</v>
      </c>
      <c r="P30">
        <v>14</v>
      </c>
      <c r="Q30">
        <v>8</v>
      </c>
      <c r="R30">
        <v>2668</v>
      </c>
      <c r="S30">
        <v>155</v>
      </c>
      <c r="T30">
        <v>1080</v>
      </c>
      <c r="U30">
        <v>0.76933300000000004</v>
      </c>
      <c r="V30">
        <v>4.1423000000000001E-2</v>
      </c>
      <c r="W30">
        <v>1.699E-3</v>
      </c>
      <c r="X30">
        <v>7.1879999999999999E-3</v>
      </c>
      <c r="Y30">
        <v>0.81971799999999995</v>
      </c>
      <c r="Z30">
        <v>25</v>
      </c>
      <c r="AA30">
        <v>0</v>
      </c>
      <c r="AB30">
        <v>0</v>
      </c>
      <c r="AC30">
        <v>0</v>
      </c>
    </row>
    <row r="31" spans="1:29" x14ac:dyDescent="0.2">
      <c r="A31" t="s">
        <v>29</v>
      </c>
      <c r="B31" t="s">
        <v>30</v>
      </c>
      <c r="C31">
        <v>6400</v>
      </c>
      <c r="D31">
        <v>2148</v>
      </c>
      <c r="E31">
        <v>33.56</v>
      </c>
      <c r="F31">
        <v>4252</v>
      </c>
      <c r="G31">
        <v>66.44</v>
      </c>
      <c r="H31">
        <v>1616</v>
      </c>
      <c r="I31">
        <v>38.01</v>
      </c>
      <c r="J31" t="s">
        <v>31</v>
      </c>
      <c r="K31">
        <v>600</v>
      </c>
      <c r="L31" t="s">
        <v>32</v>
      </c>
      <c r="M31">
        <v>2</v>
      </c>
      <c r="N31">
        <v>2</v>
      </c>
      <c r="O31">
        <v>4274</v>
      </c>
      <c r="P31">
        <v>22</v>
      </c>
      <c r="Q31">
        <v>8</v>
      </c>
      <c r="R31">
        <v>2668</v>
      </c>
      <c r="S31">
        <v>128</v>
      </c>
      <c r="T31">
        <v>1080</v>
      </c>
      <c r="U31">
        <v>1.466826</v>
      </c>
      <c r="V31">
        <v>4.5699999999999998E-2</v>
      </c>
      <c r="W31">
        <v>1.73E-3</v>
      </c>
      <c r="X31">
        <v>3.7910000000000001E-3</v>
      </c>
      <c r="Y31">
        <v>1.5181150000000001</v>
      </c>
      <c r="Z31">
        <v>28</v>
      </c>
      <c r="AA31">
        <v>0</v>
      </c>
      <c r="AB31">
        <v>0</v>
      </c>
      <c r="AC31">
        <v>0</v>
      </c>
    </row>
    <row r="32" spans="1:29" x14ac:dyDescent="0.2">
      <c r="A32" t="s">
        <v>29</v>
      </c>
      <c r="B32" t="s">
        <v>30</v>
      </c>
      <c r="C32">
        <v>6400</v>
      </c>
      <c r="D32">
        <v>2148</v>
      </c>
      <c r="E32">
        <v>33.56</v>
      </c>
      <c r="F32">
        <v>4252</v>
      </c>
      <c r="G32">
        <v>66.44</v>
      </c>
      <c r="H32">
        <v>1616</v>
      </c>
      <c r="I32">
        <v>38.01</v>
      </c>
      <c r="J32" t="s">
        <v>31</v>
      </c>
      <c r="K32">
        <v>600</v>
      </c>
      <c r="L32" t="s">
        <v>32</v>
      </c>
      <c r="M32">
        <v>2</v>
      </c>
      <c r="N32">
        <v>2</v>
      </c>
      <c r="O32">
        <v>4270</v>
      </c>
      <c r="P32">
        <v>18</v>
      </c>
      <c r="Q32">
        <v>8</v>
      </c>
      <c r="R32">
        <v>2668</v>
      </c>
      <c r="S32">
        <v>151</v>
      </c>
      <c r="T32">
        <v>1080</v>
      </c>
      <c r="U32">
        <v>0.71301800000000004</v>
      </c>
      <c r="V32">
        <v>4.1563999999999997E-2</v>
      </c>
      <c r="W32">
        <v>1.7309999999999999E-3</v>
      </c>
      <c r="X32">
        <v>2.6840000000000002E-3</v>
      </c>
      <c r="Y32">
        <v>0.75906700000000005</v>
      </c>
      <c r="Z32">
        <v>29</v>
      </c>
      <c r="AA32">
        <v>0</v>
      </c>
      <c r="AB32">
        <v>0</v>
      </c>
      <c r="AC32">
        <v>0</v>
      </c>
    </row>
    <row r="33" spans="1:29" x14ac:dyDescent="0.2">
      <c r="A33" t="s">
        <v>29</v>
      </c>
      <c r="B33" t="s">
        <v>30</v>
      </c>
      <c r="C33">
        <v>6400</v>
      </c>
      <c r="D33">
        <v>2148</v>
      </c>
      <c r="E33">
        <v>33.56</v>
      </c>
      <c r="F33">
        <v>4252</v>
      </c>
      <c r="G33">
        <v>66.44</v>
      </c>
      <c r="H33">
        <v>1616</v>
      </c>
      <c r="I33">
        <v>38.01</v>
      </c>
      <c r="J33" t="s">
        <v>31</v>
      </c>
      <c r="K33">
        <v>600</v>
      </c>
      <c r="L33" t="s">
        <v>32</v>
      </c>
      <c r="M33">
        <v>2</v>
      </c>
      <c r="N33">
        <v>2</v>
      </c>
      <c r="O33">
        <v>4282</v>
      </c>
      <c r="P33">
        <v>30</v>
      </c>
      <c r="Q33">
        <v>8</v>
      </c>
      <c r="R33">
        <v>2668</v>
      </c>
      <c r="S33">
        <v>129</v>
      </c>
      <c r="T33">
        <v>1080</v>
      </c>
      <c r="U33">
        <v>1.495015</v>
      </c>
      <c r="V33">
        <v>4.1763000000000002E-2</v>
      </c>
      <c r="W33">
        <v>1.6819999999999999E-3</v>
      </c>
      <c r="X33">
        <v>5.1919999999999996E-3</v>
      </c>
      <c r="Y33">
        <v>1.543723</v>
      </c>
      <c r="Z33">
        <v>29</v>
      </c>
      <c r="AA33">
        <v>0</v>
      </c>
      <c r="AB33">
        <v>0</v>
      </c>
      <c r="AC33">
        <v>0</v>
      </c>
    </row>
    <row r="34" spans="1:29" x14ac:dyDescent="0.2">
      <c r="A34" t="s">
        <v>29</v>
      </c>
      <c r="B34" t="s">
        <v>30</v>
      </c>
      <c r="C34">
        <v>6400</v>
      </c>
      <c r="D34">
        <v>2148</v>
      </c>
      <c r="E34">
        <v>33.56</v>
      </c>
      <c r="F34">
        <v>4252</v>
      </c>
      <c r="G34">
        <v>66.44</v>
      </c>
      <c r="H34">
        <v>1616</v>
      </c>
      <c r="I34">
        <v>38.01</v>
      </c>
      <c r="J34" t="s">
        <v>31</v>
      </c>
      <c r="K34">
        <v>600</v>
      </c>
      <c r="L34" t="s">
        <v>32</v>
      </c>
      <c r="M34">
        <v>2</v>
      </c>
      <c r="N34">
        <v>2</v>
      </c>
      <c r="O34">
        <v>4370</v>
      </c>
      <c r="P34">
        <v>118</v>
      </c>
      <c r="Q34">
        <v>8</v>
      </c>
      <c r="R34">
        <v>2668</v>
      </c>
      <c r="S34">
        <v>147</v>
      </c>
      <c r="T34">
        <v>1080</v>
      </c>
      <c r="U34">
        <v>1.56168</v>
      </c>
      <c r="V34">
        <v>4.3992000000000003E-2</v>
      </c>
      <c r="W34">
        <v>1.753E-3</v>
      </c>
      <c r="X34">
        <v>3.0000000000000001E-3</v>
      </c>
      <c r="Y34">
        <v>1.6104890000000001</v>
      </c>
      <c r="Z34">
        <v>29</v>
      </c>
      <c r="AA34">
        <v>0</v>
      </c>
      <c r="AB34">
        <v>0</v>
      </c>
      <c r="AC34">
        <v>0</v>
      </c>
    </row>
    <row r="35" spans="1:29" x14ac:dyDescent="0.2">
      <c r="A35" t="s">
        <v>29</v>
      </c>
      <c r="B35" t="s">
        <v>30</v>
      </c>
      <c r="C35">
        <v>6400</v>
      </c>
      <c r="D35">
        <v>2148</v>
      </c>
      <c r="E35">
        <v>33.56</v>
      </c>
      <c r="F35">
        <v>4252</v>
      </c>
      <c r="G35">
        <v>66.44</v>
      </c>
      <c r="H35">
        <v>1616</v>
      </c>
      <c r="I35">
        <v>38.01</v>
      </c>
      <c r="J35" t="s">
        <v>31</v>
      </c>
      <c r="K35">
        <v>600</v>
      </c>
      <c r="L35" t="s">
        <v>32</v>
      </c>
      <c r="M35">
        <v>2</v>
      </c>
      <c r="N35">
        <v>2</v>
      </c>
      <c r="O35">
        <v>4280</v>
      </c>
      <c r="P35">
        <v>28</v>
      </c>
      <c r="Q35">
        <v>8</v>
      </c>
      <c r="R35">
        <v>2668</v>
      </c>
      <c r="S35">
        <v>134</v>
      </c>
      <c r="T35">
        <v>1080</v>
      </c>
      <c r="U35">
        <v>0.44001600000000002</v>
      </c>
      <c r="V35">
        <v>4.1685E-2</v>
      </c>
      <c r="W35">
        <v>1.7899999999999999E-3</v>
      </c>
      <c r="X35">
        <v>2.1559999999999999E-3</v>
      </c>
      <c r="Y35">
        <v>0.48571300000000001</v>
      </c>
      <c r="Z35">
        <v>30</v>
      </c>
      <c r="AA35">
        <v>0</v>
      </c>
      <c r="AB35">
        <v>0</v>
      </c>
      <c r="AC35">
        <v>0</v>
      </c>
    </row>
    <row r="36" spans="1:29" x14ac:dyDescent="0.2">
      <c r="A36" t="s">
        <v>29</v>
      </c>
      <c r="B36" t="s">
        <v>30</v>
      </c>
      <c r="C36">
        <v>6400</v>
      </c>
      <c r="D36">
        <v>2148</v>
      </c>
      <c r="E36">
        <v>33.56</v>
      </c>
      <c r="F36">
        <v>4252</v>
      </c>
      <c r="G36">
        <v>66.44</v>
      </c>
      <c r="H36">
        <v>1616</v>
      </c>
      <c r="I36">
        <v>38.01</v>
      </c>
      <c r="J36" t="s">
        <v>31</v>
      </c>
      <c r="K36">
        <v>600</v>
      </c>
      <c r="L36" t="s">
        <v>32</v>
      </c>
      <c r="M36">
        <v>2</v>
      </c>
      <c r="N36">
        <v>2</v>
      </c>
      <c r="O36">
        <v>4278</v>
      </c>
      <c r="P36">
        <v>26</v>
      </c>
      <c r="Q36">
        <v>8</v>
      </c>
      <c r="R36">
        <v>2668</v>
      </c>
      <c r="S36">
        <v>129</v>
      </c>
      <c r="T36">
        <v>1080</v>
      </c>
      <c r="U36">
        <v>0.38969900000000002</v>
      </c>
      <c r="V36">
        <v>4.1902000000000002E-2</v>
      </c>
      <c r="W36">
        <v>1.72E-3</v>
      </c>
      <c r="X36">
        <v>3.8860000000000001E-3</v>
      </c>
      <c r="Y36">
        <v>0.437276</v>
      </c>
      <c r="Z36">
        <v>31</v>
      </c>
      <c r="AA36">
        <v>0</v>
      </c>
      <c r="AB36">
        <v>0</v>
      </c>
      <c r="AC36">
        <v>0</v>
      </c>
    </row>
    <row r="37" spans="1:29" x14ac:dyDescent="0.2">
      <c r="A37" t="s">
        <v>29</v>
      </c>
      <c r="B37" t="s">
        <v>30</v>
      </c>
      <c r="C37">
        <v>6400</v>
      </c>
      <c r="D37">
        <v>2148</v>
      </c>
      <c r="E37">
        <v>33.56</v>
      </c>
      <c r="F37">
        <v>4252</v>
      </c>
      <c r="G37">
        <v>66.44</v>
      </c>
      <c r="H37">
        <v>1616</v>
      </c>
      <c r="I37">
        <v>38.01</v>
      </c>
      <c r="J37" t="s">
        <v>31</v>
      </c>
      <c r="K37">
        <v>600</v>
      </c>
      <c r="L37" t="s">
        <v>32</v>
      </c>
      <c r="M37">
        <v>2</v>
      </c>
      <c r="N37">
        <v>2</v>
      </c>
      <c r="O37">
        <v>4266</v>
      </c>
      <c r="P37">
        <v>14</v>
      </c>
      <c r="Q37">
        <v>8</v>
      </c>
      <c r="R37">
        <v>2668</v>
      </c>
      <c r="S37">
        <v>170</v>
      </c>
      <c r="T37">
        <v>1080</v>
      </c>
      <c r="U37">
        <v>1.748348</v>
      </c>
      <c r="V37">
        <v>4.2375999999999997E-2</v>
      </c>
      <c r="W37">
        <v>1.7329999999999999E-3</v>
      </c>
      <c r="X37">
        <v>3.5140000000000002E-3</v>
      </c>
      <c r="Y37">
        <v>1.7960389999999999</v>
      </c>
      <c r="Z37">
        <v>31</v>
      </c>
      <c r="AA37">
        <v>0</v>
      </c>
      <c r="AB37">
        <v>0</v>
      </c>
      <c r="AC37">
        <v>0</v>
      </c>
    </row>
    <row r="38" spans="1:29" x14ac:dyDescent="0.2">
      <c r="A38" t="s">
        <v>29</v>
      </c>
      <c r="B38" t="s">
        <v>30</v>
      </c>
      <c r="C38">
        <v>6400</v>
      </c>
      <c r="D38">
        <v>2148</v>
      </c>
      <c r="E38">
        <v>33.56</v>
      </c>
      <c r="F38">
        <v>4252</v>
      </c>
      <c r="G38">
        <v>66.44</v>
      </c>
      <c r="H38">
        <v>1616</v>
      </c>
      <c r="I38">
        <v>38.01</v>
      </c>
      <c r="J38" t="s">
        <v>31</v>
      </c>
      <c r="K38">
        <v>600</v>
      </c>
      <c r="L38" t="s">
        <v>32</v>
      </c>
      <c r="M38">
        <v>2</v>
      </c>
      <c r="N38">
        <v>2</v>
      </c>
      <c r="O38">
        <v>4278</v>
      </c>
      <c r="P38">
        <v>26</v>
      </c>
      <c r="Q38">
        <v>8</v>
      </c>
      <c r="R38">
        <v>2668</v>
      </c>
      <c r="S38">
        <v>161</v>
      </c>
      <c r="T38">
        <v>1080</v>
      </c>
      <c r="U38">
        <v>1.2522340000000001</v>
      </c>
      <c r="V38">
        <v>4.2346000000000002E-2</v>
      </c>
      <c r="W38">
        <v>1.732E-3</v>
      </c>
      <c r="X38">
        <v>3.3E-3</v>
      </c>
      <c r="Y38">
        <v>1.299677</v>
      </c>
      <c r="Z38">
        <v>31</v>
      </c>
      <c r="AA38">
        <v>0</v>
      </c>
      <c r="AB38">
        <v>0</v>
      </c>
      <c r="AC38">
        <v>0</v>
      </c>
    </row>
    <row r="39" spans="1:29" x14ac:dyDescent="0.2">
      <c r="A39" t="s">
        <v>29</v>
      </c>
      <c r="B39" t="s">
        <v>30</v>
      </c>
      <c r="C39">
        <v>6400</v>
      </c>
      <c r="D39">
        <v>2148</v>
      </c>
      <c r="E39">
        <v>33.56</v>
      </c>
      <c r="F39">
        <v>4252</v>
      </c>
      <c r="G39">
        <v>66.44</v>
      </c>
      <c r="H39">
        <v>1616</v>
      </c>
      <c r="I39">
        <v>38.01</v>
      </c>
      <c r="J39" t="s">
        <v>31</v>
      </c>
      <c r="K39">
        <v>600</v>
      </c>
      <c r="L39" t="s">
        <v>32</v>
      </c>
      <c r="M39">
        <v>2</v>
      </c>
      <c r="N39">
        <v>2</v>
      </c>
      <c r="O39">
        <v>4268</v>
      </c>
      <c r="P39">
        <v>16</v>
      </c>
      <c r="Q39">
        <v>8</v>
      </c>
      <c r="R39">
        <v>2668</v>
      </c>
      <c r="S39">
        <v>136</v>
      </c>
      <c r="T39">
        <v>1080</v>
      </c>
      <c r="U39">
        <v>1.587914</v>
      </c>
      <c r="V39">
        <v>4.3707999999999997E-2</v>
      </c>
      <c r="W39">
        <v>1.6869999999999999E-3</v>
      </c>
      <c r="X39">
        <v>3.156E-3</v>
      </c>
      <c r="Y39">
        <v>1.63653</v>
      </c>
      <c r="Z39">
        <v>31</v>
      </c>
      <c r="AA39">
        <v>0</v>
      </c>
      <c r="AB39">
        <v>0</v>
      </c>
      <c r="AC39">
        <v>0</v>
      </c>
    </row>
    <row r="40" spans="1:29" x14ac:dyDescent="0.2">
      <c r="A40" t="s">
        <v>29</v>
      </c>
      <c r="B40" t="s">
        <v>30</v>
      </c>
      <c r="C40">
        <v>6400</v>
      </c>
      <c r="D40">
        <v>2148</v>
      </c>
      <c r="E40">
        <v>33.56</v>
      </c>
      <c r="F40">
        <v>4252</v>
      </c>
      <c r="G40">
        <v>66.44</v>
      </c>
      <c r="H40">
        <v>1616</v>
      </c>
      <c r="I40">
        <v>38.01</v>
      </c>
      <c r="J40" t="s">
        <v>31</v>
      </c>
      <c r="K40">
        <v>600</v>
      </c>
      <c r="L40" t="s">
        <v>32</v>
      </c>
      <c r="M40">
        <v>2</v>
      </c>
      <c r="N40">
        <v>2</v>
      </c>
      <c r="O40">
        <v>4276</v>
      </c>
      <c r="P40">
        <v>24</v>
      </c>
      <c r="Q40">
        <v>8</v>
      </c>
      <c r="R40">
        <v>2668</v>
      </c>
      <c r="S40">
        <v>148</v>
      </c>
      <c r="T40">
        <v>1080</v>
      </c>
      <c r="U40">
        <v>1.458078</v>
      </c>
      <c r="V40">
        <v>4.1714000000000001E-2</v>
      </c>
      <c r="W40">
        <v>1.6999999999999999E-3</v>
      </c>
      <c r="X40">
        <v>5.3550000000000004E-3</v>
      </c>
      <c r="Y40">
        <v>1.5069129999999999</v>
      </c>
      <c r="Z40">
        <v>31</v>
      </c>
      <c r="AA40">
        <v>0</v>
      </c>
      <c r="AB40">
        <v>0</v>
      </c>
      <c r="AC40">
        <v>0</v>
      </c>
    </row>
    <row r="41" spans="1:29" x14ac:dyDescent="0.2">
      <c r="A41" t="s">
        <v>29</v>
      </c>
      <c r="B41" t="s">
        <v>30</v>
      </c>
      <c r="C41">
        <v>6400</v>
      </c>
      <c r="D41">
        <v>2148</v>
      </c>
      <c r="E41">
        <v>33.56</v>
      </c>
      <c r="F41">
        <v>4252</v>
      </c>
      <c r="G41">
        <v>66.44</v>
      </c>
      <c r="H41">
        <v>1616</v>
      </c>
      <c r="I41">
        <v>38.01</v>
      </c>
      <c r="J41" t="s">
        <v>31</v>
      </c>
      <c r="K41">
        <v>600</v>
      </c>
      <c r="L41" t="s">
        <v>32</v>
      </c>
      <c r="M41">
        <v>2</v>
      </c>
      <c r="N41">
        <v>2</v>
      </c>
      <c r="O41">
        <v>4276</v>
      </c>
      <c r="P41">
        <v>24</v>
      </c>
      <c r="Q41">
        <v>8</v>
      </c>
      <c r="R41">
        <v>2668</v>
      </c>
      <c r="S41">
        <v>173</v>
      </c>
      <c r="T41">
        <v>1080</v>
      </c>
      <c r="U41">
        <v>0.56653600000000004</v>
      </c>
      <c r="V41">
        <v>4.1804000000000001E-2</v>
      </c>
      <c r="W41">
        <v>1.7979999999999999E-3</v>
      </c>
      <c r="X41">
        <v>2.3059999999999999E-3</v>
      </c>
      <c r="Y41">
        <v>0.61251</v>
      </c>
      <c r="Z41">
        <v>31</v>
      </c>
      <c r="AA41">
        <v>0</v>
      </c>
      <c r="AB41">
        <v>0</v>
      </c>
      <c r="AC41">
        <v>0</v>
      </c>
    </row>
    <row r="42" spans="1:29" x14ac:dyDescent="0.2">
      <c r="A42" t="s">
        <v>29</v>
      </c>
      <c r="B42" t="s">
        <v>30</v>
      </c>
      <c r="C42">
        <v>6400</v>
      </c>
      <c r="D42">
        <v>2148</v>
      </c>
      <c r="E42">
        <v>33.56</v>
      </c>
      <c r="F42">
        <v>4252</v>
      </c>
      <c r="G42">
        <v>66.44</v>
      </c>
      <c r="H42">
        <v>1616</v>
      </c>
      <c r="I42">
        <v>38.01</v>
      </c>
      <c r="J42" t="s">
        <v>31</v>
      </c>
      <c r="K42">
        <v>600</v>
      </c>
      <c r="L42" t="s">
        <v>32</v>
      </c>
      <c r="M42">
        <v>2</v>
      </c>
      <c r="N42">
        <v>2</v>
      </c>
      <c r="O42">
        <v>4274</v>
      </c>
      <c r="P42">
        <v>22</v>
      </c>
      <c r="Q42">
        <v>8</v>
      </c>
      <c r="R42">
        <v>2668</v>
      </c>
      <c r="S42">
        <v>139</v>
      </c>
      <c r="T42">
        <v>1080</v>
      </c>
      <c r="U42">
        <v>1.7460249999999999</v>
      </c>
      <c r="V42">
        <v>4.1586999999999999E-2</v>
      </c>
      <c r="W42">
        <v>1.743E-3</v>
      </c>
      <c r="X42">
        <v>2.6150000000000001E-3</v>
      </c>
      <c r="Y42">
        <v>1.7920370000000001</v>
      </c>
      <c r="Z42">
        <v>31</v>
      </c>
      <c r="AA42">
        <v>0</v>
      </c>
      <c r="AB42">
        <v>0</v>
      </c>
      <c r="AC42">
        <v>0</v>
      </c>
    </row>
    <row r="43" spans="1:29" x14ac:dyDescent="0.2">
      <c r="A43" t="s">
        <v>29</v>
      </c>
      <c r="B43" t="s">
        <v>30</v>
      </c>
      <c r="C43">
        <v>6400</v>
      </c>
      <c r="D43">
        <v>2148</v>
      </c>
      <c r="E43">
        <v>33.56</v>
      </c>
      <c r="F43">
        <v>4252</v>
      </c>
      <c r="G43">
        <v>66.44</v>
      </c>
      <c r="H43">
        <v>1616</v>
      </c>
      <c r="I43">
        <v>38.01</v>
      </c>
      <c r="J43" t="s">
        <v>31</v>
      </c>
      <c r="K43">
        <v>600</v>
      </c>
      <c r="L43" t="s">
        <v>32</v>
      </c>
      <c r="M43">
        <v>2</v>
      </c>
      <c r="N43">
        <v>2</v>
      </c>
      <c r="O43">
        <v>4274</v>
      </c>
      <c r="P43">
        <v>22</v>
      </c>
      <c r="Q43">
        <v>8</v>
      </c>
      <c r="R43">
        <v>2668</v>
      </c>
      <c r="S43">
        <v>139</v>
      </c>
      <c r="T43">
        <v>1080</v>
      </c>
      <c r="U43">
        <v>1.6235310000000001</v>
      </c>
      <c r="V43">
        <v>4.3122000000000001E-2</v>
      </c>
      <c r="W43">
        <v>1.702E-3</v>
      </c>
      <c r="X43">
        <v>3.65E-3</v>
      </c>
      <c r="Y43">
        <v>1.672072</v>
      </c>
      <c r="Z43">
        <v>31</v>
      </c>
      <c r="AA43">
        <v>0</v>
      </c>
      <c r="AB43">
        <v>0</v>
      </c>
      <c r="AC43">
        <v>0</v>
      </c>
    </row>
    <row r="44" spans="1:29" x14ac:dyDescent="0.2">
      <c r="A44" t="s">
        <v>29</v>
      </c>
      <c r="B44" t="s">
        <v>30</v>
      </c>
      <c r="C44">
        <v>6400</v>
      </c>
      <c r="D44">
        <v>2148</v>
      </c>
      <c r="E44">
        <v>33.56</v>
      </c>
      <c r="F44">
        <v>4252</v>
      </c>
      <c r="G44">
        <v>66.44</v>
      </c>
      <c r="H44">
        <v>1616</v>
      </c>
      <c r="I44">
        <v>38.01</v>
      </c>
      <c r="J44" t="s">
        <v>31</v>
      </c>
      <c r="K44">
        <v>600</v>
      </c>
      <c r="L44" t="s">
        <v>32</v>
      </c>
      <c r="M44">
        <v>2</v>
      </c>
      <c r="N44">
        <v>2</v>
      </c>
      <c r="O44">
        <v>4282</v>
      </c>
      <c r="P44">
        <v>30</v>
      </c>
      <c r="Q44">
        <v>8</v>
      </c>
      <c r="R44">
        <v>2668</v>
      </c>
      <c r="S44">
        <v>140</v>
      </c>
      <c r="T44">
        <v>1080</v>
      </c>
      <c r="U44">
        <v>1.168061</v>
      </c>
      <c r="V44">
        <v>4.1829999999999999E-2</v>
      </c>
      <c r="W44">
        <v>1.737E-3</v>
      </c>
      <c r="X44">
        <v>5.9100000000000003E-3</v>
      </c>
      <c r="Y44">
        <v>1.217608</v>
      </c>
      <c r="Z44">
        <v>32</v>
      </c>
      <c r="AA44">
        <v>0</v>
      </c>
      <c r="AB44">
        <v>0</v>
      </c>
      <c r="AC44">
        <v>0</v>
      </c>
    </row>
    <row r="45" spans="1:29" x14ac:dyDescent="0.2">
      <c r="A45" t="s">
        <v>29</v>
      </c>
      <c r="B45" t="s">
        <v>30</v>
      </c>
      <c r="C45">
        <v>6400</v>
      </c>
      <c r="D45">
        <v>2148</v>
      </c>
      <c r="E45">
        <v>33.56</v>
      </c>
      <c r="F45">
        <v>4252</v>
      </c>
      <c r="G45">
        <v>66.44</v>
      </c>
      <c r="H45">
        <v>1616</v>
      </c>
      <c r="I45">
        <v>38.01</v>
      </c>
      <c r="J45" t="s">
        <v>31</v>
      </c>
      <c r="K45">
        <v>600</v>
      </c>
      <c r="L45" t="s">
        <v>32</v>
      </c>
      <c r="M45">
        <v>2</v>
      </c>
      <c r="N45">
        <v>2</v>
      </c>
      <c r="O45">
        <v>4274</v>
      </c>
      <c r="P45">
        <v>22</v>
      </c>
      <c r="Q45">
        <v>8</v>
      </c>
      <c r="R45">
        <v>2668</v>
      </c>
      <c r="S45">
        <v>159</v>
      </c>
      <c r="T45">
        <v>1080</v>
      </c>
      <c r="U45">
        <v>1.7812220000000001</v>
      </c>
      <c r="V45">
        <v>4.3929000000000003E-2</v>
      </c>
      <c r="W45">
        <v>1.8879999999999999E-3</v>
      </c>
      <c r="X45">
        <v>2.3319999999999999E-3</v>
      </c>
      <c r="Y45">
        <v>1.829445</v>
      </c>
      <c r="Z45">
        <v>32</v>
      </c>
      <c r="AA45">
        <v>0</v>
      </c>
      <c r="AB45">
        <v>0</v>
      </c>
      <c r="AC45">
        <v>0</v>
      </c>
    </row>
    <row r="46" spans="1:29" x14ac:dyDescent="0.2">
      <c r="A46" t="s">
        <v>29</v>
      </c>
      <c r="B46" t="s">
        <v>30</v>
      </c>
      <c r="C46">
        <v>6400</v>
      </c>
      <c r="D46">
        <v>2148</v>
      </c>
      <c r="E46">
        <v>33.56</v>
      </c>
      <c r="F46">
        <v>4252</v>
      </c>
      <c r="G46">
        <v>66.44</v>
      </c>
      <c r="H46">
        <v>1616</v>
      </c>
      <c r="I46">
        <v>38.01</v>
      </c>
      <c r="J46" t="s">
        <v>31</v>
      </c>
      <c r="K46">
        <v>600</v>
      </c>
      <c r="L46" t="s">
        <v>32</v>
      </c>
      <c r="M46">
        <v>2</v>
      </c>
      <c r="N46">
        <v>2</v>
      </c>
      <c r="O46">
        <v>4442</v>
      </c>
      <c r="P46">
        <v>190</v>
      </c>
      <c r="Q46">
        <v>8</v>
      </c>
      <c r="R46">
        <v>2668</v>
      </c>
      <c r="S46">
        <v>128</v>
      </c>
      <c r="T46">
        <v>1080</v>
      </c>
      <c r="U46">
        <v>1.780308</v>
      </c>
      <c r="V46">
        <v>4.2693000000000002E-2</v>
      </c>
      <c r="W46">
        <v>1.902E-3</v>
      </c>
      <c r="X46">
        <v>3.1930000000000001E-3</v>
      </c>
      <c r="Y46">
        <v>1.8281700000000001</v>
      </c>
      <c r="Z46">
        <v>32</v>
      </c>
      <c r="AA46">
        <v>0</v>
      </c>
      <c r="AB46">
        <v>0</v>
      </c>
      <c r="AC46">
        <v>0</v>
      </c>
    </row>
    <row r="47" spans="1:29" x14ac:dyDescent="0.2">
      <c r="A47" t="s">
        <v>29</v>
      </c>
      <c r="B47" t="s">
        <v>30</v>
      </c>
      <c r="C47">
        <v>6400</v>
      </c>
      <c r="D47">
        <v>2148</v>
      </c>
      <c r="E47">
        <v>33.56</v>
      </c>
      <c r="F47">
        <v>4252</v>
      </c>
      <c r="G47">
        <v>66.44</v>
      </c>
      <c r="H47">
        <v>1616</v>
      </c>
      <c r="I47">
        <v>38.01</v>
      </c>
      <c r="J47" t="s">
        <v>31</v>
      </c>
      <c r="K47">
        <v>600</v>
      </c>
      <c r="L47" t="s">
        <v>32</v>
      </c>
      <c r="M47">
        <v>2</v>
      </c>
      <c r="N47">
        <v>2</v>
      </c>
      <c r="O47">
        <v>4274</v>
      </c>
      <c r="P47">
        <v>22</v>
      </c>
      <c r="Q47">
        <v>8</v>
      </c>
      <c r="R47">
        <v>2668</v>
      </c>
      <c r="S47">
        <v>133</v>
      </c>
      <c r="T47">
        <v>1080</v>
      </c>
      <c r="U47">
        <v>1.6808289999999999</v>
      </c>
      <c r="V47">
        <v>4.1672000000000001E-2</v>
      </c>
      <c r="W47">
        <v>1.7830000000000001E-3</v>
      </c>
      <c r="X47">
        <v>3.9300000000000001E-4</v>
      </c>
      <c r="Y47">
        <v>1.724747</v>
      </c>
      <c r="Z47">
        <v>32</v>
      </c>
      <c r="AA47">
        <v>0</v>
      </c>
      <c r="AB47">
        <v>0</v>
      </c>
      <c r="AC47">
        <v>0</v>
      </c>
    </row>
    <row r="48" spans="1:29" x14ac:dyDescent="0.2">
      <c r="A48" t="s">
        <v>29</v>
      </c>
      <c r="B48" t="s">
        <v>30</v>
      </c>
      <c r="C48">
        <v>6400</v>
      </c>
      <c r="D48">
        <v>2148</v>
      </c>
      <c r="E48">
        <v>33.56</v>
      </c>
      <c r="F48">
        <v>4252</v>
      </c>
      <c r="G48">
        <v>66.44</v>
      </c>
      <c r="H48">
        <v>1616</v>
      </c>
      <c r="I48">
        <v>38.01</v>
      </c>
      <c r="J48" t="s">
        <v>31</v>
      </c>
      <c r="K48">
        <v>600</v>
      </c>
      <c r="L48" t="s">
        <v>32</v>
      </c>
      <c r="M48">
        <v>2</v>
      </c>
      <c r="N48">
        <v>2</v>
      </c>
      <c r="O48">
        <v>4294</v>
      </c>
      <c r="P48">
        <v>42</v>
      </c>
      <c r="Q48">
        <v>8</v>
      </c>
      <c r="R48">
        <v>2668</v>
      </c>
      <c r="S48">
        <v>99</v>
      </c>
      <c r="T48">
        <v>1080</v>
      </c>
      <c r="U48">
        <v>0.78859599999999996</v>
      </c>
      <c r="V48">
        <v>4.3364E-2</v>
      </c>
      <c r="W48">
        <v>1.7849999999999999E-3</v>
      </c>
      <c r="X48">
        <v>2.2109999999999999E-3</v>
      </c>
      <c r="Y48">
        <v>0.83602600000000005</v>
      </c>
      <c r="Z48">
        <v>33</v>
      </c>
      <c r="AA48">
        <v>0</v>
      </c>
      <c r="AB48">
        <v>0</v>
      </c>
      <c r="AC48">
        <v>0</v>
      </c>
    </row>
    <row r="49" spans="1:29" x14ac:dyDescent="0.2">
      <c r="A49" t="s">
        <v>29</v>
      </c>
      <c r="B49" t="s">
        <v>30</v>
      </c>
      <c r="C49">
        <v>6400</v>
      </c>
      <c r="D49">
        <v>2148</v>
      </c>
      <c r="E49">
        <v>33.56</v>
      </c>
      <c r="F49">
        <v>4252</v>
      </c>
      <c r="G49">
        <v>66.44</v>
      </c>
      <c r="H49">
        <v>1616</v>
      </c>
      <c r="I49">
        <v>38.01</v>
      </c>
      <c r="J49" t="s">
        <v>31</v>
      </c>
      <c r="K49">
        <v>600</v>
      </c>
      <c r="L49" t="s">
        <v>32</v>
      </c>
      <c r="M49">
        <v>2</v>
      </c>
      <c r="N49">
        <v>2</v>
      </c>
      <c r="O49">
        <v>4278</v>
      </c>
      <c r="P49">
        <v>26</v>
      </c>
      <c r="Q49">
        <v>8</v>
      </c>
      <c r="R49">
        <v>2668</v>
      </c>
      <c r="S49">
        <v>136</v>
      </c>
      <c r="T49">
        <v>1080</v>
      </c>
      <c r="U49">
        <v>1.27294</v>
      </c>
      <c r="V49">
        <v>4.1724999999999998E-2</v>
      </c>
      <c r="W49">
        <v>1.7750000000000001E-3</v>
      </c>
      <c r="X49">
        <v>6.7720000000000002E-3</v>
      </c>
      <c r="Y49">
        <v>1.323278</v>
      </c>
      <c r="Z49">
        <v>34</v>
      </c>
      <c r="AA49">
        <v>0</v>
      </c>
      <c r="AB49">
        <v>0</v>
      </c>
      <c r="AC49">
        <v>0</v>
      </c>
    </row>
    <row r="50" spans="1:29" x14ac:dyDescent="0.2">
      <c r="A50" t="s">
        <v>29</v>
      </c>
      <c r="B50" t="s">
        <v>30</v>
      </c>
      <c r="C50">
        <v>6400</v>
      </c>
      <c r="D50">
        <v>2148</v>
      </c>
      <c r="E50">
        <v>33.56</v>
      </c>
      <c r="F50">
        <v>4252</v>
      </c>
      <c r="G50">
        <v>66.44</v>
      </c>
      <c r="H50">
        <v>1616</v>
      </c>
      <c r="I50">
        <v>38.01</v>
      </c>
      <c r="J50" t="s">
        <v>31</v>
      </c>
      <c r="K50">
        <v>600</v>
      </c>
      <c r="L50" t="s">
        <v>32</v>
      </c>
      <c r="M50">
        <v>2</v>
      </c>
      <c r="N50">
        <v>2</v>
      </c>
      <c r="O50">
        <v>4278</v>
      </c>
      <c r="P50">
        <v>26</v>
      </c>
      <c r="Q50">
        <v>8</v>
      </c>
      <c r="R50">
        <v>2668</v>
      </c>
      <c r="S50">
        <v>133</v>
      </c>
      <c r="T50">
        <v>1080</v>
      </c>
      <c r="U50">
        <v>1.2619069999999999</v>
      </c>
      <c r="V50">
        <v>4.3289000000000001E-2</v>
      </c>
      <c r="W50">
        <v>1.7539999999999999E-3</v>
      </c>
      <c r="X50">
        <v>4.2099999999999999E-4</v>
      </c>
      <c r="Y50">
        <v>1.307442</v>
      </c>
      <c r="Z50">
        <v>35</v>
      </c>
      <c r="AA50">
        <v>0</v>
      </c>
      <c r="AB50">
        <v>0</v>
      </c>
      <c r="AC50">
        <v>0</v>
      </c>
    </row>
    <row r="51" spans="1:29" x14ac:dyDescent="0.2">
      <c r="A51" t="s">
        <v>29</v>
      </c>
      <c r="B51" t="s">
        <v>30</v>
      </c>
      <c r="C51">
        <v>6400</v>
      </c>
      <c r="D51">
        <v>2148</v>
      </c>
      <c r="E51">
        <v>33.56</v>
      </c>
      <c r="F51">
        <v>4252</v>
      </c>
      <c r="G51">
        <v>66.44</v>
      </c>
      <c r="H51">
        <v>1616</v>
      </c>
      <c r="I51">
        <v>38.01</v>
      </c>
      <c r="J51" t="s">
        <v>31</v>
      </c>
      <c r="K51">
        <v>600</v>
      </c>
      <c r="L51" t="s">
        <v>32</v>
      </c>
      <c r="M51">
        <v>2</v>
      </c>
      <c r="N51">
        <v>2</v>
      </c>
      <c r="O51">
        <v>4288</v>
      </c>
      <c r="P51">
        <v>36</v>
      </c>
      <c r="Q51">
        <v>8</v>
      </c>
      <c r="R51">
        <v>2668</v>
      </c>
      <c r="S51">
        <v>126</v>
      </c>
      <c r="T51">
        <v>1080</v>
      </c>
      <c r="U51">
        <v>1.8442210000000001</v>
      </c>
      <c r="V51">
        <v>4.2477000000000001E-2</v>
      </c>
      <c r="W51">
        <v>1.8140000000000001E-3</v>
      </c>
      <c r="X51">
        <v>6.8599999999999998E-4</v>
      </c>
      <c r="Y51">
        <v>1.889262</v>
      </c>
      <c r="Z51">
        <v>35</v>
      </c>
      <c r="AA51">
        <v>0</v>
      </c>
      <c r="AB51">
        <v>0</v>
      </c>
      <c r="AC51">
        <v>0</v>
      </c>
    </row>
    <row r="52" spans="1:29" x14ac:dyDescent="0.2">
      <c r="A52" t="s">
        <v>29</v>
      </c>
      <c r="B52" t="s">
        <v>30</v>
      </c>
      <c r="C52">
        <v>6400</v>
      </c>
      <c r="D52">
        <v>2148</v>
      </c>
      <c r="E52">
        <v>33.56</v>
      </c>
      <c r="F52">
        <v>4252</v>
      </c>
      <c r="G52">
        <v>66.44</v>
      </c>
      <c r="H52">
        <v>1616</v>
      </c>
      <c r="I52">
        <v>38.01</v>
      </c>
      <c r="J52" t="s">
        <v>31</v>
      </c>
      <c r="K52">
        <v>600</v>
      </c>
      <c r="L52" t="s">
        <v>32</v>
      </c>
      <c r="M52">
        <v>2</v>
      </c>
      <c r="N52">
        <v>2</v>
      </c>
      <c r="O52">
        <v>4270</v>
      </c>
      <c r="P52">
        <v>18</v>
      </c>
      <c r="Q52">
        <v>8</v>
      </c>
      <c r="R52">
        <v>2668</v>
      </c>
      <c r="S52">
        <v>145</v>
      </c>
      <c r="T52">
        <v>1080</v>
      </c>
      <c r="U52">
        <v>1.6804129999999999</v>
      </c>
      <c r="V52">
        <v>4.2058999999999999E-2</v>
      </c>
      <c r="W52">
        <v>1.6919999999999999E-3</v>
      </c>
      <c r="X52">
        <v>6.9719999999999999E-3</v>
      </c>
      <c r="Y52">
        <v>1.7312019999999999</v>
      </c>
      <c r="Z52">
        <v>36</v>
      </c>
      <c r="AA52">
        <v>0</v>
      </c>
      <c r="AB52">
        <v>0</v>
      </c>
      <c r="AC52">
        <v>0</v>
      </c>
    </row>
    <row r="53" spans="1:29" x14ac:dyDescent="0.2">
      <c r="A53" t="s">
        <v>29</v>
      </c>
      <c r="B53" t="s">
        <v>30</v>
      </c>
      <c r="C53">
        <v>6400</v>
      </c>
      <c r="D53">
        <v>2148</v>
      </c>
      <c r="E53">
        <v>33.56</v>
      </c>
      <c r="F53">
        <v>4252</v>
      </c>
      <c r="G53">
        <v>66.44</v>
      </c>
      <c r="H53">
        <v>1616</v>
      </c>
      <c r="I53">
        <v>38.01</v>
      </c>
      <c r="J53" t="s">
        <v>31</v>
      </c>
      <c r="K53">
        <v>600</v>
      </c>
      <c r="L53" t="s">
        <v>32</v>
      </c>
      <c r="M53">
        <v>2</v>
      </c>
      <c r="N53">
        <v>2</v>
      </c>
      <c r="O53">
        <v>4278</v>
      </c>
      <c r="P53">
        <v>26</v>
      </c>
      <c r="Q53">
        <v>8</v>
      </c>
      <c r="R53">
        <v>2668</v>
      </c>
      <c r="S53">
        <v>155</v>
      </c>
      <c r="T53">
        <v>1080</v>
      </c>
      <c r="U53">
        <v>0.73943700000000001</v>
      </c>
      <c r="V53">
        <v>4.2118000000000003E-2</v>
      </c>
      <c r="W53">
        <v>1.8010000000000001E-3</v>
      </c>
      <c r="X53">
        <v>6.5339999999999999E-3</v>
      </c>
      <c r="Y53">
        <v>0.78995499999999996</v>
      </c>
      <c r="Z53">
        <v>37</v>
      </c>
      <c r="AA53">
        <v>0</v>
      </c>
      <c r="AB53">
        <v>0</v>
      </c>
      <c r="AC53">
        <v>0</v>
      </c>
    </row>
    <row r="54" spans="1:29" x14ac:dyDescent="0.2">
      <c r="A54" t="s">
        <v>29</v>
      </c>
      <c r="B54" t="s">
        <v>30</v>
      </c>
      <c r="C54">
        <v>6400</v>
      </c>
      <c r="D54">
        <v>2148</v>
      </c>
      <c r="E54">
        <v>33.56</v>
      </c>
      <c r="F54">
        <v>4252</v>
      </c>
      <c r="G54">
        <v>66.44</v>
      </c>
      <c r="H54">
        <v>1616</v>
      </c>
      <c r="I54">
        <v>38.01</v>
      </c>
      <c r="J54" t="s">
        <v>31</v>
      </c>
      <c r="K54">
        <v>600</v>
      </c>
      <c r="L54" t="s">
        <v>32</v>
      </c>
      <c r="M54">
        <v>2</v>
      </c>
      <c r="N54">
        <v>2</v>
      </c>
      <c r="O54">
        <v>4286</v>
      </c>
      <c r="P54">
        <v>34</v>
      </c>
      <c r="Q54">
        <v>8</v>
      </c>
      <c r="R54">
        <v>2668</v>
      </c>
      <c r="S54">
        <v>164</v>
      </c>
      <c r="T54">
        <v>1080</v>
      </c>
      <c r="U54">
        <v>1.86297</v>
      </c>
      <c r="V54">
        <v>4.2419999999999999E-2</v>
      </c>
      <c r="W54">
        <v>1.779E-3</v>
      </c>
      <c r="X54">
        <v>1.1969999999999999E-3</v>
      </c>
      <c r="Y54">
        <v>1.9084350000000001</v>
      </c>
      <c r="Z54">
        <v>38</v>
      </c>
      <c r="AA54">
        <v>0</v>
      </c>
      <c r="AB54">
        <v>0</v>
      </c>
      <c r="AC54">
        <v>0</v>
      </c>
    </row>
    <row r="55" spans="1:29" x14ac:dyDescent="0.2">
      <c r="A55" t="s">
        <v>29</v>
      </c>
      <c r="B55" t="s">
        <v>30</v>
      </c>
      <c r="C55">
        <v>6400</v>
      </c>
      <c r="D55">
        <v>2148</v>
      </c>
      <c r="E55">
        <v>33.56</v>
      </c>
      <c r="F55">
        <v>4252</v>
      </c>
      <c r="G55">
        <v>66.44</v>
      </c>
      <c r="H55">
        <v>1616</v>
      </c>
      <c r="I55">
        <v>38.01</v>
      </c>
      <c r="J55" t="s">
        <v>31</v>
      </c>
      <c r="K55">
        <v>600</v>
      </c>
      <c r="L55" t="s">
        <v>32</v>
      </c>
      <c r="M55">
        <v>2</v>
      </c>
      <c r="N55">
        <v>2</v>
      </c>
      <c r="O55">
        <v>4270</v>
      </c>
      <c r="P55">
        <v>18</v>
      </c>
      <c r="Q55">
        <v>8</v>
      </c>
      <c r="R55">
        <v>2668</v>
      </c>
      <c r="S55">
        <v>146</v>
      </c>
      <c r="T55">
        <v>1080</v>
      </c>
      <c r="U55">
        <v>0.667018</v>
      </c>
      <c r="V55">
        <v>4.1498E-2</v>
      </c>
      <c r="W55">
        <v>1.7719999999999999E-3</v>
      </c>
      <c r="X55">
        <v>5.9059999999999998E-3</v>
      </c>
      <c r="Y55">
        <v>0.71626199999999995</v>
      </c>
      <c r="Z55">
        <v>38</v>
      </c>
      <c r="AA55">
        <v>0</v>
      </c>
      <c r="AB55">
        <v>0</v>
      </c>
      <c r="AC55">
        <v>0</v>
      </c>
    </row>
    <row r="56" spans="1:29" x14ac:dyDescent="0.2">
      <c r="A56" t="s">
        <v>29</v>
      </c>
      <c r="B56" t="s">
        <v>30</v>
      </c>
      <c r="C56">
        <v>6400</v>
      </c>
      <c r="D56">
        <v>2148</v>
      </c>
      <c r="E56">
        <v>33.56</v>
      </c>
      <c r="F56">
        <v>4252</v>
      </c>
      <c r="G56">
        <v>66.44</v>
      </c>
      <c r="H56">
        <v>1616</v>
      </c>
      <c r="I56">
        <v>38.01</v>
      </c>
      <c r="J56" t="s">
        <v>31</v>
      </c>
      <c r="K56">
        <v>600</v>
      </c>
      <c r="L56" t="s">
        <v>32</v>
      </c>
      <c r="M56">
        <v>2</v>
      </c>
      <c r="N56">
        <v>2</v>
      </c>
      <c r="O56">
        <v>4270</v>
      </c>
      <c r="P56">
        <v>18</v>
      </c>
      <c r="Q56">
        <v>8</v>
      </c>
      <c r="R56">
        <v>2668</v>
      </c>
      <c r="S56">
        <v>142</v>
      </c>
      <c r="T56">
        <v>1080</v>
      </c>
      <c r="U56">
        <v>1.371931</v>
      </c>
      <c r="V56">
        <v>4.1829999999999999E-2</v>
      </c>
      <c r="W56">
        <v>1.7669999999999999E-3</v>
      </c>
      <c r="X56">
        <v>4.0899999999999999E-3</v>
      </c>
      <c r="Y56">
        <v>1.4196960000000001</v>
      </c>
      <c r="Z56">
        <v>39</v>
      </c>
      <c r="AA56">
        <v>0</v>
      </c>
      <c r="AB56">
        <v>0</v>
      </c>
      <c r="AC56">
        <v>0</v>
      </c>
    </row>
    <row r="57" spans="1:29" x14ac:dyDescent="0.2">
      <c r="A57" t="s">
        <v>29</v>
      </c>
      <c r="B57" t="s">
        <v>30</v>
      </c>
      <c r="C57">
        <v>6400</v>
      </c>
      <c r="D57">
        <v>2148</v>
      </c>
      <c r="E57">
        <v>33.56</v>
      </c>
      <c r="F57">
        <v>4252</v>
      </c>
      <c r="G57">
        <v>66.44</v>
      </c>
      <c r="H57">
        <v>1616</v>
      </c>
      <c r="I57">
        <v>38.01</v>
      </c>
      <c r="J57" t="s">
        <v>31</v>
      </c>
      <c r="K57">
        <v>600</v>
      </c>
      <c r="L57" t="s">
        <v>32</v>
      </c>
      <c r="M57">
        <v>2</v>
      </c>
      <c r="N57">
        <v>2</v>
      </c>
      <c r="O57">
        <v>4272</v>
      </c>
      <c r="P57">
        <v>20</v>
      </c>
      <c r="Q57">
        <v>8</v>
      </c>
      <c r="R57">
        <v>2668</v>
      </c>
      <c r="S57">
        <v>115</v>
      </c>
      <c r="T57">
        <v>1080</v>
      </c>
      <c r="U57">
        <v>1.194226</v>
      </c>
      <c r="V57">
        <v>4.1481999999999998E-2</v>
      </c>
      <c r="W57">
        <v>1.7930000000000001E-3</v>
      </c>
      <c r="X57">
        <v>2.1159999999999998E-3</v>
      </c>
      <c r="Y57">
        <v>1.2397020000000001</v>
      </c>
      <c r="Z57">
        <v>40</v>
      </c>
      <c r="AA57">
        <v>0</v>
      </c>
      <c r="AB57">
        <v>0</v>
      </c>
      <c r="AC57">
        <v>0</v>
      </c>
    </row>
    <row r="58" spans="1:29" x14ac:dyDescent="0.2">
      <c r="A58" t="s">
        <v>29</v>
      </c>
      <c r="B58" t="s">
        <v>30</v>
      </c>
      <c r="C58">
        <v>6400</v>
      </c>
      <c r="D58">
        <v>2148</v>
      </c>
      <c r="E58">
        <v>33.56</v>
      </c>
      <c r="F58">
        <v>4252</v>
      </c>
      <c r="G58">
        <v>66.44</v>
      </c>
      <c r="H58">
        <v>1616</v>
      </c>
      <c r="I58">
        <v>38.01</v>
      </c>
      <c r="J58" t="s">
        <v>31</v>
      </c>
      <c r="K58">
        <v>600</v>
      </c>
      <c r="L58" t="s">
        <v>32</v>
      </c>
      <c r="M58">
        <v>2</v>
      </c>
      <c r="N58">
        <v>2</v>
      </c>
      <c r="O58">
        <v>4280</v>
      </c>
      <c r="P58">
        <v>28</v>
      </c>
      <c r="Q58">
        <v>8</v>
      </c>
      <c r="R58">
        <v>2668</v>
      </c>
      <c r="S58">
        <v>213</v>
      </c>
      <c r="T58">
        <v>1080</v>
      </c>
      <c r="U58">
        <v>1.167122</v>
      </c>
      <c r="V58">
        <v>4.1589000000000001E-2</v>
      </c>
      <c r="W58">
        <v>1.8079999999999999E-3</v>
      </c>
      <c r="X58">
        <v>4.7660000000000003E-3</v>
      </c>
      <c r="Y58">
        <v>1.215352</v>
      </c>
      <c r="Z58">
        <v>40</v>
      </c>
      <c r="AA58">
        <v>0</v>
      </c>
      <c r="AB58">
        <v>0</v>
      </c>
      <c r="AC58">
        <v>0</v>
      </c>
    </row>
    <row r="59" spans="1:29" x14ac:dyDescent="0.2">
      <c r="A59" t="s">
        <v>29</v>
      </c>
      <c r="B59" t="s">
        <v>30</v>
      </c>
      <c r="C59">
        <v>6400</v>
      </c>
      <c r="D59">
        <v>2148</v>
      </c>
      <c r="E59">
        <v>33.56</v>
      </c>
      <c r="F59">
        <v>4252</v>
      </c>
      <c r="G59">
        <v>66.44</v>
      </c>
      <c r="H59">
        <v>1616</v>
      </c>
      <c r="I59">
        <v>38.01</v>
      </c>
      <c r="J59" t="s">
        <v>31</v>
      </c>
      <c r="K59">
        <v>600</v>
      </c>
      <c r="L59" t="s">
        <v>32</v>
      </c>
      <c r="M59">
        <v>2</v>
      </c>
      <c r="N59">
        <v>2</v>
      </c>
      <c r="O59">
        <v>4266</v>
      </c>
      <c r="P59">
        <v>14</v>
      </c>
      <c r="Q59">
        <v>8</v>
      </c>
      <c r="R59">
        <v>2668</v>
      </c>
      <c r="S59">
        <v>147</v>
      </c>
      <c r="T59">
        <v>1080</v>
      </c>
      <c r="U59">
        <v>0.64346400000000004</v>
      </c>
      <c r="V59">
        <v>4.3788000000000001E-2</v>
      </c>
      <c r="W59">
        <v>1.683E-3</v>
      </c>
      <c r="X59">
        <v>2.7920000000000002E-3</v>
      </c>
      <c r="Y59">
        <v>0.69179400000000002</v>
      </c>
      <c r="Z59">
        <v>41</v>
      </c>
      <c r="AA59">
        <v>0</v>
      </c>
      <c r="AB59">
        <v>0</v>
      </c>
      <c r="AC59">
        <v>0</v>
      </c>
    </row>
    <row r="60" spans="1:29" x14ac:dyDescent="0.2">
      <c r="N60">
        <f>AVERAGE(Tabella1[number_of_bsss_used])</f>
        <v>2</v>
      </c>
      <c r="O60">
        <f>AVERAGE(Tabella1[cumulative_energy_used_by_uavs])</f>
        <v>4286.7931034482763</v>
      </c>
      <c r="P60">
        <f>AVERAGE(Tabella1[cumulative_energy_wasted_by_uavs])</f>
        <v>34.793103448275865</v>
      </c>
      <c r="Q60">
        <f>AVERAGE(Tabella1[cumulative_number_of_batteries_used_by_uavs])</f>
        <v>8</v>
      </c>
      <c r="R60">
        <f>AVERAGE(Tabella1[mission_time_seconds])</f>
        <v>2668</v>
      </c>
      <c r="S60">
        <f>AVERAGE(Tabella1[bsss_mission_time_seconds])</f>
        <v>146</v>
      </c>
      <c r="T60">
        <f>AVERAGE(Tabella1[cumulative_swap_time_seconds])</f>
        <v>1080</v>
      </c>
      <c r="U60">
        <f>AVERAGE(Tabella1[darp_execution_time_seconds])</f>
        <v>1.140182551724138</v>
      </c>
      <c r="V60">
        <f>AVERAGE(Tabella1[stc_execution_time_seconds])</f>
        <v>4.2704344827586206E-2</v>
      </c>
      <c r="W60">
        <f>AVERAGE(Tabella1[pp_uavs_execution_time_seconds])</f>
        <v>1.7618620689655172E-3</v>
      </c>
      <c r="X60">
        <f>AVERAGE(Tabella1[pp_bsss_execution_time_seconds])</f>
        <v>3.6321724137931039E-3</v>
      </c>
      <c r="Z60">
        <f>AVERAGE(Tabella1[darpfailures])</f>
        <v>25.137931034482758</v>
      </c>
      <c r="AA60">
        <f>AVERAGE(Tabella1[ppbssfailures])</f>
        <v>0</v>
      </c>
      <c r="AB60">
        <f>AVERAGE(Tabella1[ppuavfailures])</f>
        <v>0</v>
      </c>
      <c r="AC60">
        <f>AVERAGE(Tabella1[ppweatherfailures])</f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254E1-E1B8-7842-A0E1-10A5B8E50D5D}">
  <dimension ref="A1:L119"/>
  <sheetViews>
    <sheetView tabSelected="1" workbookViewId="0">
      <selection activeCell="I5" sqref="I5:L5"/>
    </sheetView>
  </sheetViews>
  <sheetFormatPr baseColWidth="10" defaultRowHeight="16" x14ac:dyDescent="0.2"/>
  <cols>
    <col min="1" max="5" width="11" customWidth="1"/>
  </cols>
  <sheetData>
    <row r="1" spans="1:12" x14ac:dyDescent="0.2">
      <c r="A1" t="s">
        <v>35</v>
      </c>
      <c r="B1">
        <v>600</v>
      </c>
    </row>
    <row r="2" spans="1:12" x14ac:dyDescent="0.2">
      <c r="I2" t="s">
        <v>41</v>
      </c>
      <c r="J2" t="s">
        <v>42</v>
      </c>
      <c r="K2" t="s">
        <v>43</v>
      </c>
      <c r="L2" t="s">
        <v>44</v>
      </c>
    </row>
    <row r="3" spans="1:12" x14ac:dyDescent="0.2">
      <c r="A3" t="s">
        <v>36</v>
      </c>
      <c r="B3" t="s">
        <v>37</v>
      </c>
      <c r="C3" t="s">
        <v>38</v>
      </c>
      <c r="D3" t="s">
        <v>39</v>
      </c>
      <c r="E3" t="s">
        <v>40</v>
      </c>
      <c r="H3" t="s">
        <v>33</v>
      </c>
      <c r="I3" s="1">
        <f>AVERAGEIF(Tabella2[Colonna1],$H3,Tabella2[Colonna2])/$B$1</f>
        <v>0.99396551724137927</v>
      </c>
      <c r="J3" s="1">
        <f>AVERAGEIF(Tabella2[Colonna1],$H3,Tabella2[Colonna3])/$B$1</f>
        <v>0.97548850574712631</v>
      </c>
      <c r="K3" s="1">
        <f>AVERAGEIF(Tabella2[Colonna1],$H3,Tabella2[Colonna4])/$B$1</f>
        <v>0.99442528735632185</v>
      </c>
      <c r="L3" s="1">
        <f>AVERAGEIF(Tabella2[Colonna1],$H3,Tabella2[Colonna5])/$B$1</f>
        <v>0.5804885057471264</v>
      </c>
    </row>
    <row r="4" spans="1:12" x14ac:dyDescent="0.2">
      <c r="A4" t="s">
        <v>33</v>
      </c>
      <c r="B4">
        <v>596</v>
      </c>
      <c r="C4">
        <v>600</v>
      </c>
      <c r="D4">
        <v>598</v>
      </c>
      <c r="E4">
        <v>334</v>
      </c>
      <c r="H4" t="s">
        <v>34</v>
      </c>
      <c r="I4" s="1">
        <f>AVERAGEIF(Tabella2[Colonna1],$H4,Tabella2[Colonna2])/$B$1</f>
        <v>0.99913793103448278</v>
      </c>
      <c r="J4" s="1">
        <f>AVERAGEIF(Tabella2[Colonna1],$H4,Tabella2[Colonna3])/$B$1</f>
        <v>0.98528735632183917</v>
      </c>
      <c r="K4" s="1">
        <f>AVERAGEIF(Tabella2[Colonna1],$H4,Tabella2[Colonna4])/$B$1</f>
        <v>0.99370689655172417</v>
      </c>
      <c r="L4" s="1">
        <f>AVERAGEIF(Tabella2[Colonna1],$H4,Tabella2[Colonna5])/$B$1</f>
        <v>0.56416666666666671</v>
      </c>
    </row>
    <row r="5" spans="1:12" x14ac:dyDescent="0.2">
      <c r="A5" t="s">
        <v>34</v>
      </c>
      <c r="B5">
        <v>600</v>
      </c>
      <c r="C5">
        <v>590</v>
      </c>
      <c r="D5">
        <v>598</v>
      </c>
      <c r="E5">
        <v>336</v>
      </c>
      <c r="I5" s="2">
        <f>AVERAGE(I3:I4)</f>
        <v>0.99655172413793103</v>
      </c>
      <c r="J5" s="2">
        <f t="shared" ref="J5:L5" si="0">AVERAGE(J3:J4)</f>
        <v>0.98038793103448274</v>
      </c>
      <c r="K5" s="2">
        <f t="shared" si="0"/>
        <v>0.99406609195402296</v>
      </c>
      <c r="L5" s="2">
        <f t="shared" si="0"/>
        <v>0.57232758620689661</v>
      </c>
    </row>
    <row r="6" spans="1:12" x14ac:dyDescent="0.2">
      <c r="A6" t="s">
        <v>33</v>
      </c>
      <c r="B6">
        <v>598</v>
      </c>
      <c r="C6">
        <v>600</v>
      </c>
      <c r="D6">
        <v>600</v>
      </c>
      <c r="E6">
        <v>330</v>
      </c>
    </row>
    <row r="7" spans="1:12" x14ac:dyDescent="0.2">
      <c r="A7" t="s">
        <v>34</v>
      </c>
      <c r="B7">
        <v>600</v>
      </c>
      <c r="C7">
        <v>590</v>
      </c>
      <c r="D7">
        <v>598</v>
      </c>
      <c r="E7">
        <v>336</v>
      </c>
    </row>
    <row r="8" spans="1:12" x14ac:dyDescent="0.2">
      <c r="A8" t="s">
        <v>33</v>
      </c>
      <c r="B8">
        <v>600</v>
      </c>
      <c r="C8">
        <v>596</v>
      </c>
      <c r="D8">
        <v>600</v>
      </c>
      <c r="E8">
        <v>332</v>
      </c>
    </row>
    <row r="9" spans="1:12" x14ac:dyDescent="0.2">
      <c r="A9" t="s">
        <v>34</v>
      </c>
      <c r="B9">
        <v>600</v>
      </c>
      <c r="C9">
        <v>590</v>
      </c>
      <c r="D9">
        <v>596</v>
      </c>
      <c r="E9">
        <v>338</v>
      </c>
    </row>
    <row r="10" spans="1:12" x14ac:dyDescent="0.2">
      <c r="A10" t="s">
        <v>33</v>
      </c>
      <c r="B10">
        <v>600</v>
      </c>
      <c r="C10">
        <v>600</v>
      </c>
      <c r="D10">
        <v>596</v>
      </c>
      <c r="E10">
        <v>332</v>
      </c>
    </row>
    <row r="11" spans="1:12" x14ac:dyDescent="0.2">
      <c r="A11" t="s">
        <v>34</v>
      </c>
      <c r="B11">
        <v>600</v>
      </c>
      <c r="C11">
        <v>590</v>
      </c>
      <c r="D11">
        <v>592</v>
      </c>
      <c r="E11">
        <v>342</v>
      </c>
    </row>
    <row r="12" spans="1:12" x14ac:dyDescent="0.2">
      <c r="A12" t="s">
        <v>33</v>
      </c>
      <c r="B12">
        <v>600</v>
      </c>
      <c r="C12">
        <v>596</v>
      </c>
      <c r="D12">
        <v>586</v>
      </c>
      <c r="E12">
        <v>346</v>
      </c>
    </row>
    <row r="13" spans="1:12" x14ac:dyDescent="0.2">
      <c r="A13" t="s">
        <v>34</v>
      </c>
      <c r="B13">
        <v>600</v>
      </c>
      <c r="C13">
        <v>590</v>
      </c>
      <c r="D13">
        <v>578</v>
      </c>
      <c r="E13">
        <v>356</v>
      </c>
    </row>
    <row r="14" spans="1:12" x14ac:dyDescent="0.2">
      <c r="A14" t="s">
        <v>33</v>
      </c>
      <c r="B14">
        <v>598</v>
      </c>
      <c r="C14">
        <v>600</v>
      </c>
      <c r="D14">
        <v>598</v>
      </c>
      <c r="E14">
        <v>328</v>
      </c>
    </row>
    <row r="15" spans="1:12" x14ac:dyDescent="0.2">
      <c r="A15" t="s">
        <v>34</v>
      </c>
      <c r="B15">
        <v>600</v>
      </c>
      <c r="C15">
        <v>590</v>
      </c>
      <c r="D15">
        <v>600</v>
      </c>
      <c r="E15">
        <v>338</v>
      </c>
    </row>
    <row r="16" spans="1:12" x14ac:dyDescent="0.2">
      <c r="A16" t="s">
        <v>33</v>
      </c>
      <c r="B16">
        <v>596</v>
      </c>
      <c r="C16">
        <v>594</v>
      </c>
      <c r="D16">
        <v>600</v>
      </c>
      <c r="E16">
        <v>334</v>
      </c>
    </row>
    <row r="17" spans="1:5" x14ac:dyDescent="0.2">
      <c r="A17" t="s">
        <v>34</v>
      </c>
      <c r="B17">
        <v>600</v>
      </c>
      <c r="C17">
        <v>590</v>
      </c>
      <c r="D17">
        <v>589</v>
      </c>
      <c r="E17">
        <v>349</v>
      </c>
    </row>
    <row r="18" spans="1:5" x14ac:dyDescent="0.2">
      <c r="A18" t="s">
        <v>33</v>
      </c>
      <c r="B18">
        <v>600</v>
      </c>
      <c r="C18">
        <v>600</v>
      </c>
      <c r="D18">
        <v>596</v>
      </c>
      <c r="E18">
        <v>332</v>
      </c>
    </row>
    <row r="19" spans="1:5" x14ac:dyDescent="0.2">
      <c r="A19" t="s">
        <v>34</v>
      </c>
      <c r="B19">
        <v>600</v>
      </c>
      <c r="C19">
        <v>590</v>
      </c>
      <c r="D19">
        <v>590</v>
      </c>
      <c r="E19">
        <v>344</v>
      </c>
    </row>
    <row r="20" spans="1:5" x14ac:dyDescent="0.2">
      <c r="A20" t="s">
        <v>33</v>
      </c>
      <c r="B20">
        <v>600</v>
      </c>
      <c r="C20">
        <v>592</v>
      </c>
      <c r="D20">
        <v>598</v>
      </c>
      <c r="E20">
        <v>334</v>
      </c>
    </row>
    <row r="21" spans="1:5" x14ac:dyDescent="0.2">
      <c r="A21" t="s">
        <v>34</v>
      </c>
      <c r="B21">
        <v>600</v>
      </c>
      <c r="C21">
        <v>590</v>
      </c>
      <c r="D21">
        <v>600</v>
      </c>
      <c r="E21">
        <v>338</v>
      </c>
    </row>
    <row r="22" spans="1:5" x14ac:dyDescent="0.2">
      <c r="A22" t="s">
        <v>33</v>
      </c>
      <c r="B22">
        <v>568</v>
      </c>
      <c r="C22">
        <v>598</v>
      </c>
      <c r="D22">
        <v>600</v>
      </c>
      <c r="E22">
        <v>362</v>
      </c>
    </row>
    <row r="23" spans="1:5" x14ac:dyDescent="0.2">
      <c r="A23" t="s">
        <v>34</v>
      </c>
      <c r="B23">
        <v>594</v>
      </c>
      <c r="C23">
        <v>590</v>
      </c>
      <c r="D23">
        <v>600</v>
      </c>
      <c r="E23">
        <v>340</v>
      </c>
    </row>
    <row r="24" spans="1:5" x14ac:dyDescent="0.2">
      <c r="A24" t="s">
        <v>33</v>
      </c>
      <c r="B24">
        <v>600</v>
      </c>
      <c r="C24">
        <v>598</v>
      </c>
      <c r="D24">
        <v>600</v>
      </c>
      <c r="E24">
        <v>330</v>
      </c>
    </row>
    <row r="25" spans="1:5" x14ac:dyDescent="0.2">
      <c r="A25" t="s">
        <v>34</v>
      </c>
      <c r="B25">
        <v>600</v>
      </c>
      <c r="C25">
        <v>590</v>
      </c>
      <c r="D25">
        <v>598</v>
      </c>
      <c r="E25">
        <v>336</v>
      </c>
    </row>
    <row r="26" spans="1:5" x14ac:dyDescent="0.2">
      <c r="A26" t="s">
        <v>33</v>
      </c>
      <c r="B26">
        <v>596</v>
      </c>
      <c r="C26">
        <v>590</v>
      </c>
      <c r="D26">
        <v>600</v>
      </c>
      <c r="E26">
        <v>342</v>
      </c>
    </row>
    <row r="27" spans="1:5" x14ac:dyDescent="0.2">
      <c r="A27" t="s">
        <v>34</v>
      </c>
      <c r="B27">
        <v>600</v>
      </c>
      <c r="C27">
        <v>590</v>
      </c>
      <c r="D27">
        <v>594</v>
      </c>
      <c r="E27">
        <v>340</v>
      </c>
    </row>
    <row r="28" spans="1:5" x14ac:dyDescent="0.2">
      <c r="A28" t="s">
        <v>33</v>
      </c>
      <c r="B28">
        <v>598</v>
      </c>
      <c r="C28">
        <v>600</v>
      </c>
      <c r="D28">
        <v>596</v>
      </c>
      <c r="E28">
        <v>334</v>
      </c>
    </row>
    <row r="29" spans="1:5" x14ac:dyDescent="0.2">
      <c r="A29" t="s">
        <v>34</v>
      </c>
      <c r="B29">
        <v>600</v>
      </c>
      <c r="C29">
        <v>590</v>
      </c>
      <c r="D29">
        <v>594</v>
      </c>
      <c r="E29">
        <v>340</v>
      </c>
    </row>
    <row r="30" spans="1:5" x14ac:dyDescent="0.2">
      <c r="A30" t="s">
        <v>33</v>
      </c>
      <c r="B30">
        <v>598</v>
      </c>
      <c r="C30">
        <v>600</v>
      </c>
      <c r="D30">
        <v>590</v>
      </c>
      <c r="E30">
        <v>336</v>
      </c>
    </row>
    <row r="31" spans="1:5" x14ac:dyDescent="0.2">
      <c r="A31" t="s">
        <v>34</v>
      </c>
      <c r="B31">
        <v>600</v>
      </c>
      <c r="C31">
        <v>590</v>
      </c>
      <c r="D31">
        <v>596</v>
      </c>
      <c r="E31">
        <v>342</v>
      </c>
    </row>
    <row r="32" spans="1:5" x14ac:dyDescent="0.2">
      <c r="A32" t="s">
        <v>33</v>
      </c>
      <c r="B32">
        <v>592</v>
      </c>
      <c r="C32">
        <v>596</v>
      </c>
      <c r="D32">
        <v>600</v>
      </c>
      <c r="E32">
        <v>340</v>
      </c>
    </row>
    <row r="33" spans="1:5" x14ac:dyDescent="0.2">
      <c r="A33" t="s">
        <v>34</v>
      </c>
      <c r="B33">
        <v>600</v>
      </c>
      <c r="C33">
        <v>590</v>
      </c>
      <c r="D33">
        <v>600</v>
      </c>
      <c r="E33">
        <v>334</v>
      </c>
    </row>
    <row r="34" spans="1:5" x14ac:dyDescent="0.2">
      <c r="A34" t="s">
        <v>33</v>
      </c>
      <c r="B34">
        <v>596</v>
      </c>
      <c r="C34">
        <v>596</v>
      </c>
      <c r="D34">
        <v>600</v>
      </c>
      <c r="E34">
        <v>336</v>
      </c>
    </row>
    <row r="35" spans="1:5" x14ac:dyDescent="0.2">
      <c r="A35" t="s">
        <v>34</v>
      </c>
      <c r="B35">
        <v>600</v>
      </c>
      <c r="C35">
        <v>590</v>
      </c>
      <c r="D35">
        <v>600</v>
      </c>
      <c r="E35">
        <v>334</v>
      </c>
    </row>
    <row r="36" spans="1:5" x14ac:dyDescent="0.2">
      <c r="A36" t="s">
        <v>33</v>
      </c>
      <c r="B36">
        <v>596</v>
      </c>
      <c r="C36">
        <v>600</v>
      </c>
      <c r="D36">
        <v>590</v>
      </c>
      <c r="E36">
        <v>342</v>
      </c>
    </row>
    <row r="37" spans="1:5" x14ac:dyDescent="0.2">
      <c r="A37" t="s">
        <v>34</v>
      </c>
      <c r="B37">
        <v>600</v>
      </c>
      <c r="C37">
        <v>590</v>
      </c>
      <c r="D37">
        <v>600</v>
      </c>
      <c r="E37">
        <v>334</v>
      </c>
    </row>
    <row r="38" spans="1:5" x14ac:dyDescent="0.2">
      <c r="A38" t="s">
        <v>33</v>
      </c>
      <c r="B38">
        <v>590</v>
      </c>
      <c r="C38">
        <v>600</v>
      </c>
      <c r="D38">
        <v>598</v>
      </c>
      <c r="E38">
        <v>340</v>
      </c>
    </row>
    <row r="39" spans="1:5" x14ac:dyDescent="0.2">
      <c r="A39" t="s">
        <v>34</v>
      </c>
      <c r="B39">
        <v>600</v>
      </c>
      <c r="C39">
        <v>590</v>
      </c>
      <c r="D39">
        <v>600</v>
      </c>
      <c r="E39">
        <v>334</v>
      </c>
    </row>
    <row r="40" spans="1:5" x14ac:dyDescent="0.2">
      <c r="A40" t="s">
        <v>33</v>
      </c>
      <c r="B40">
        <v>598</v>
      </c>
      <c r="C40">
        <v>600</v>
      </c>
      <c r="D40">
        <v>600</v>
      </c>
      <c r="E40">
        <v>326</v>
      </c>
    </row>
    <row r="41" spans="1:5" x14ac:dyDescent="0.2">
      <c r="A41" t="s">
        <v>34</v>
      </c>
      <c r="B41">
        <v>600</v>
      </c>
      <c r="C41">
        <v>590</v>
      </c>
      <c r="D41">
        <v>590</v>
      </c>
      <c r="E41">
        <v>348</v>
      </c>
    </row>
    <row r="42" spans="1:5" x14ac:dyDescent="0.2">
      <c r="A42" t="s">
        <v>33</v>
      </c>
      <c r="B42">
        <v>600</v>
      </c>
      <c r="C42">
        <v>592</v>
      </c>
      <c r="D42">
        <v>594</v>
      </c>
      <c r="E42">
        <v>342</v>
      </c>
    </row>
    <row r="43" spans="1:5" x14ac:dyDescent="0.2">
      <c r="A43" t="s">
        <v>34</v>
      </c>
      <c r="B43">
        <v>600</v>
      </c>
      <c r="C43">
        <v>590</v>
      </c>
      <c r="D43">
        <v>600</v>
      </c>
      <c r="E43">
        <v>334</v>
      </c>
    </row>
    <row r="44" spans="1:5" x14ac:dyDescent="0.2">
      <c r="A44" t="s">
        <v>33</v>
      </c>
      <c r="B44">
        <v>600</v>
      </c>
      <c r="C44">
        <v>600</v>
      </c>
      <c r="D44">
        <v>586</v>
      </c>
      <c r="E44">
        <v>342</v>
      </c>
    </row>
    <row r="45" spans="1:5" x14ac:dyDescent="0.2">
      <c r="A45" t="s">
        <v>34</v>
      </c>
      <c r="B45">
        <v>600</v>
      </c>
      <c r="C45">
        <v>590</v>
      </c>
      <c r="D45">
        <v>600</v>
      </c>
      <c r="E45">
        <v>334</v>
      </c>
    </row>
    <row r="46" spans="1:5" x14ac:dyDescent="0.2">
      <c r="A46" t="s">
        <v>33</v>
      </c>
      <c r="B46">
        <v>596</v>
      </c>
      <c r="C46">
        <v>421</v>
      </c>
      <c r="D46">
        <v>600</v>
      </c>
      <c r="E46">
        <v>511</v>
      </c>
    </row>
    <row r="47" spans="1:5" x14ac:dyDescent="0.2">
      <c r="A47" t="s">
        <v>34</v>
      </c>
      <c r="B47">
        <v>600</v>
      </c>
      <c r="C47">
        <v>592</v>
      </c>
      <c r="D47">
        <v>598</v>
      </c>
      <c r="E47">
        <v>334</v>
      </c>
    </row>
    <row r="48" spans="1:5" x14ac:dyDescent="0.2">
      <c r="A48" t="s">
        <v>33</v>
      </c>
      <c r="B48">
        <v>600</v>
      </c>
      <c r="C48">
        <v>529</v>
      </c>
      <c r="D48">
        <v>599</v>
      </c>
      <c r="E48">
        <v>400</v>
      </c>
    </row>
    <row r="49" spans="1:5" x14ac:dyDescent="0.2">
      <c r="A49" t="s">
        <v>34</v>
      </c>
      <c r="B49">
        <v>590</v>
      </c>
      <c r="C49">
        <v>600</v>
      </c>
      <c r="D49">
        <v>600</v>
      </c>
      <c r="E49">
        <v>334</v>
      </c>
    </row>
    <row r="50" spans="1:5" x14ac:dyDescent="0.2">
      <c r="A50" t="s">
        <v>33</v>
      </c>
      <c r="B50">
        <v>596</v>
      </c>
      <c r="C50">
        <v>600</v>
      </c>
      <c r="D50">
        <v>598</v>
      </c>
      <c r="E50">
        <v>330</v>
      </c>
    </row>
    <row r="51" spans="1:5" x14ac:dyDescent="0.2">
      <c r="A51" t="s">
        <v>34</v>
      </c>
      <c r="B51">
        <v>600</v>
      </c>
      <c r="C51">
        <v>590</v>
      </c>
      <c r="D51">
        <v>596</v>
      </c>
      <c r="E51">
        <v>342</v>
      </c>
    </row>
    <row r="52" spans="1:5" x14ac:dyDescent="0.2">
      <c r="A52" t="s">
        <v>33</v>
      </c>
      <c r="B52">
        <v>598</v>
      </c>
      <c r="C52">
        <v>598</v>
      </c>
      <c r="D52">
        <v>586</v>
      </c>
      <c r="E52">
        <v>342</v>
      </c>
    </row>
    <row r="53" spans="1:5" x14ac:dyDescent="0.2">
      <c r="A53" t="s">
        <v>34</v>
      </c>
      <c r="B53">
        <v>600</v>
      </c>
      <c r="C53">
        <v>590</v>
      </c>
      <c r="D53">
        <v>598</v>
      </c>
      <c r="E53">
        <v>340</v>
      </c>
    </row>
    <row r="54" spans="1:5" x14ac:dyDescent="0.2">
      <c r="A54" t="s">
        <v>33</v>
      </c>
      <c r="B54">
        <v>596</v>
      </c>
      <c r="C54">
        <v>592</v>
      </c>
      <c r="D54">
        <v>600</v>
      </c>
      <c r="E54">
        <v>336</v>
      </c>
    </row>
    <row r="55" spans="1:5" x14ac:dyDescent="0.2">
      <c r="A55" t="s">
        <v>34</v>
      </c>
      <c r="B55">
        <v>600</v>
      </c>
      <c r="C55">
        <v>598</v>
      </c>
      <c r="D55">
        <v>598</v>
      </c>
      <c r="E55">
        <v>332</v>
      </c>
    </row>
    <row r="56" spans="1:5" x14ac:dyDescent="0.2">
      <c r="A56" t="s">
        <v>33</v>
      </c>
      <c r="B56">
        <v>594</v>
      </c>
      <c r="C56">
        <v>435</v>
      </c>
      <c r="D56">
        <v>599</v>
      </c>
      <c r="E56">
        <v>496</v>
      </c>
    </row>
    <row r="57" spans="1:5" x14ac:dyDescent="0.2">
      <c r="A57" t="s">
        <v>34</v>
      </c>
      <c r="B57">
        <v>600</v>
      </c>
      <c r="C57">
        <v>600</v>
      </c>
      <c r="D57">
        <v>600</v>
      </c>
      <c r="E57">
        <v>328</v>
      </c>
    </row>
    <row r="58" spans="1:5" x14ac:dyDescent="0.2">
      <c r="A58" t="s">
        <v>33</v>
      </c>
      <c r="B58">
        <v>600</v>
      </c>
      <c r="C58">
        <v>600</v>
      </c>
      <c r="D58">
        <v>592</v>
      </c>
      <c r="E58">
        <v>336</v>
      </c>
    </row>
    <row r="59" spans="1:5" x14ac:dyDescent="0.2">
      <c r="A59" t="s">
        <v>34</v>
      </c>
      <c r="B59">
        <v>600</v>
      </c>
      <c r="C59">
        <v>590</v>
      </c>
      <c r="D59">
        <v>596</v>
      </c>
      <c r="E59">
        <v>338</v>
      </c>
    </row>
    <row r="60" spans="1:5" x14ac:dyDescent="0.2">
      <c r="A60" t="s">
        <v>33</v>
      </c>
      <c r="B60">
        <v>598</v>
      </c>
      <c r="C60">
        <v>598</v>
      </c>
      <c r="D60">
        <v>600</v>
      </c>
      <c r="E60">
        <v>332</v>
      </c>
    </row>
    <row r="61" spans="1:5" x14ac:dyDescent="0.2">
      <c r="A61" t="s">
        <v>34</v>
      </c>
      <c r="B61">
        <v>600</v>
      </c>
      <c r="C61">
        <v>590</v>
      </c>
      <c r="D61">
        <v>600</v>
      </c>
      <c r="E61">
        <v>334</v>
      </c>
    </row>
    <row r="62" spans="1:5" x14ac:dyDescent="0.2">
      <c r="A62" t="s">
        <v>33</v>
      </c>
      <c r="B62">
        <v>592</v>
      </c>
      <c r="C62">
        <v>600</v>
      </c>
      <c r="D62">
        <v>596</v>
      </c>
      <c r="E62">
        <v>340</v>
      </c>
    </row>
    <row r="63" spans="1:5" x14ac:dyDescent="0.2">
      <c r="A63" t="s">
        <v>34</v>
      </c>
      <c r="B63">
        <v>600</v>
      </c>
      <c r="C63">
        <v>590</v>
      </c>
      <c r="D63">
        <v>600</v>
      </c>
      <c r="E63">
        <v>334</v>
      </c>
    </row>
    <row r="64" spans="1:5" x14ac:dyDescent="0.2">
      <c r="A64" t="s">
        <v>33</v>
      </c>
      <c r="B64">
        <v>600</v>
      </c>
      <c r="C64">
        <v>592</v>
      </c>
      <c r="D64">
        <v>600</v>
      </c>
      <c r="E64">
        <v>336</v>
      </c>
    </row>
    <row r="65" spans="1:5" x14ac:dyDescent="0.2">
      <c r="A65" t="s">
        <v>34</v>
      </c>
      <c r="B65">
        <v>600</v>
      </c>
      <c r="C65">
        <v>590</v>
      </c>
      <c r="D65">
        <v>600</v>
      </c>
      <c r="E65">
        <v>334</v>
      </c>
    </row>
    <row r="66" spans="1:5" x14ac:dyDescent="0.2">
      <c r="A66" t="s">
        <v>33</v>
      </c>
      <c r="B66">
        <v>594</v>
      </c>
      <c r="C66">
        <v>590</v>
      </c>
      <c r="D66">
        <v>596</v>
      </c>
      <c r="E66">
        <v>348</v>
      </c>
    </row>
    <row r="67" spans="1:5" x14ac:dyDescent="0.2">
      <c r="A67" t="s">
        <v>34</v>
      </c>
      <c r="B67">
        <v>600</v>
      </c>
      <c r="C67">
        <v>590</v>
      </c>
      <c r="D67">
        <v>600</v>
      </c>
      <c r="E67">
        <v>334</v>
      </c>
    </row>
    <row r="68" spans="1:5" x14ac:dyDescent="0.2">
      <c r="A68" t="s">
        <v>33</v>
      </c>
      <c r="B68">
        <v>590</v>
      </c>
      <c r="C68">
        <v>495</v>
      </c>
      <c r="D68">
        <v>599</v>
      </c>
      <c r="E68">
        <v>440</v>
      </c>
    </row>
    <row r="69" spans="1:5" x14ac:dyDescent="0.2">
      <c r="A69" t="s">
        <v>34</v>
      </c>
      <c r="B69">
        <v>600</v>
      </c>
      <c r="C69">
        <v>600</v>
      </c>
      <c r="D69">
        <v>598</v>
      </c>
      <c r="E69">
        <v>330</v>
      </c>
    </row>
    <row r="70" spans="1:5" x14ac:dyDescent="0.2">
      <c r="A70" t="s">
        <v>33</v>
      </c>
      <c r="B70">
        <v>600</v>
      </c>
      <c r="C70">
        <v>594</v>
      </c>
      <c r="D70">
        <v>600</v>
      </c>
      <c r="E70">
        <v>330</v>
      </c>
    </row>
    <row r="71" spans="1:5" x14ac:dyDescent="0.2">
      <c r="A71" t="s">
        <v>34</v>
      </c>
      <c r="B71">
        <v>600</v>
      </c>
      <c r="C71">
        <v>590</v>
      </c>
      <c r="D71">
        <v>588</v>
      </c>
      <c r="E71">
        <v>350</v>
      </c>
    </row>
    <row r="72" spans="1:5" x14ac:dyDescent="0.2">
      <c r="A72" t="s">
        <v>33</v>
      </c>
      <c r="B72">
        <v>596</v>
      </c>
      <c r="C72">
        <v>596</v>
      </c>
      <c r="D72">
        <v>600</v>
      </c>
      <c r="E72">
        <v>336</v>
      </c>
    </row>
    <row r="73" spans="1:5" x14ac:dyDescent="0.2">
      <c r="A73" t="s">
        <v>34</v>
      </c>
      <c r="B73">
        <v>600</v>
      </c>
      <c r="C73">
        <v>590</v>
      </c>
      <c r="D73">
        <v>592</v>
      </c>
      <c r="E73">
        <v>342</v>
      </c>
    </row>
    <row r="74" spans="1:5" x14ac:dyDescent="0.2">
      <c r="A74" t="s">
        <v>33</v>
      </c>
      <c r="B74">
        <v>592</v>
      </c>
      <c r="C74">
        <v>598</v>
      </c>
      <c r="D74">
        <v>600</v>
      </c>
      <c r="E74">
        <v>338</v>
      </c>
    </row>
    <row r="75" spans="1:5" x14ac:dyDescent="0.2">
      <c r="A75" t="s">
        <v>34</v>
      </c>
      <c r="B75">
        <v>600</v>
      </c>
      <c r="C75">
        <v>598</v>
      </c>
      <c r="D75">
        <v>598</v>
      </c>
      <c r="E75">
        <v>328</v>
      </c>
    </row>
    <row r="76" spans="1:5" x14ac:dyDescent="0.2">
      <c r="A76" t="s">
        <v>33</v>
      </c>
      <c r="B76">
        <v>596</v>
      </c>
      <c r="C76">
        <v>596</v>
      </c>
      <c r="D76">
        <v>592</v>
      </c>
      <c r="E76">
        <v>340</v>
      </c>
    </row>
    <row r="77" spans="1:5" x14ac:dyDescent="0.2">
      <c r="A77" t="s">
        <v>34</v>
      </c>
      <c r="B77">
        <v>600</v>
      </c>
      <c r="C77">
        <v>590</v>
      </c>
      <c r="D77">
        <v>600</v>
      </c>
      <c r="E77">
        <v>338</v>
      </c>
    </row>
    <row r="78" spans="1:5" x14ac:dyDescent="0.2">
      <c r="A78" t="s">
        <v>33</v>
      </c>
      <c r="B78">
        <v>596</v>
      </c>
      <c r="C78">
        <v>600</v>
      </c>
      <c r="D78">
        <v>598</v>
      </c>
      <c r="E78">
        <v>334</v>
      </c>
    </row>
    <row r="79" spans="1:5" x14ac:dyDescent="0.2">
      <c r="A79" t="s">
        <v>34</v>
      </c>
      <c r="B79">
        <v>600</v>
      </c>
      <c r="C79">
        <v>590</v>
      </c>
      <c r="D79">
        <v>600</v>
      </c>
      <c r="E79">
        <v>334</v>
      </c>
    </row>
    <row r="80" spans="1:5" x14ac:dyDescent="0.2">
      <c r="A80" t="s">
        <v>33</v>
      </c>
      <c r="B80">
        <v>598</v>
      </c>
      <c r="C80">
        <v>596</v>
      </c>
      <c r="D80">
        <v>600</v>
      </c>
      <c r="E80">
        <v>334</v>
      </c>
    </row>
    <row r="81" spans="1:5" x14ac:dyDescent="0.2">
      <c r="A81" t="s">
        <v>34</v>
      </c>
      <c r="B81">
        <v>600</v>
      </c>
      <c r="C81">
        <v>590</v>
      </c>
      <c r="D81">
        <v>592</v>
      </c>
      <c r="E81">
        <v>342</v>
      </c>
    </row>
    <row r="82" spans="1:5" x14ac:dyDescent="0.2">
      <c r="A82" t="s">
        <v>33</v>
      </c>
      <c r="B82">
        <v>588</v>
      </c>
      <c r="C82">
        <v>600</v>
      </c>
      <c r="D82">
        <v>598</v>
      </c>
      <c r="E82">
        <v>338</v>
      </c>
    </row>
    <row r="83" spans="1:5" x14ac:dyDescent="0.2">
      <c r="A83" t="s">
        <v>34</v>
      </c>
      <c r="B83">
        <v>600</v>
      </c>
      <c r="C83">
        <v>590</v>
      </c>
      <c r="D83">
        <v>600</v>
      </c>
      <c r="E83">
        <v>338</v>
      </c>
    </row>
    <row r="84" spans="1:5" x14ac:dyDescent="0.2">
      <c r="A84" t="s">
        <v>33</v>
      </c>
      <c r="B84">
        <v>600</v>
      </c>
      <c r="C84">
        <v>598</v>
      </c>
      <c r="D84">
        <v>600</v>
      </c>
      <c r="E84">
        <v>330</v>
      </c>
    </row>
    <row r="85" spans="1:5" x14ac:dyDescent="0.2">
      <c r="A85" t="s">
        <v>34</v>
      </c>
      <c r="B85">
        <v>600</v>
      </c>
      <c r="C85">
        <v>590</v>
      </c>
      <c r="D85">
        <v>590</v>
      </c>
      <c r="E85">
        <v>344</v>
      </c>
    </row>
    <row r="86" spans="1:5" x14ac:dyDescent="0.2">
      <c r="A86" t="s">
        <v>33</v>
      </c>
      <c r="B86">
        <v>600</v>
      </c>
      <c r="C86">
        <v>600</v>
      </c>
      <c r="D86">
        <v>586</v>
      </c>
      <c r="E86">
        <v>338</v>
      </c>
    </row>
    <row r="87" spans="1:5" x14ac:dyDescent="0.2">
      <c r="A87" t="s">
        <v>34</v>
      </c>
      <c r="B87">
        <v>592</v>
      </c>
      <c r="C87">
        <v>600</v>
      </c>
      <c r="D87">
        <v>600</v>
      </c>
      <c r="E87">
        <v>336</v>
      </c>
    </row>
    <row r="88" spans="1:5" x14ac:dyDescent="0.2">
      <c r="A88" t="s">
        <v>33</v>
      </c>
      <c r="B88">
        <v>600</v>
      </c>
      <c r="C88">
        <v>586</v>
      </c>
      <c r="D88">
        <v>594</v>
      </c>
      <c r="E88">
        <v>348</v>
      </c>
    </row>
    <row r="89" spans="1:5" x14ac:dyDescent="0.2">
      <c r="A89" t="s">
        <v>34</v>
      </c>
      <c r="B89">
        <v>600</v>
      </c>
      <c r="C89">
        <v>596</v>
      </c>
      <c r="D89">
        <v>594</v>
      </c>
      <c r="E89">
        <v>334</v>
      </c>
    </row>
    <row r="90" spans="1:5" x14ac:dyDescent="0.2">
      <c r="A90" t="s">
        <v>33</v>
      </c>
      <c r="B90">
        <v>596</v>
      </c>
      <c r="C90">
        <v>592</v>
      </c>
      <c r="D90">
        <v>600</v>
      </c>
      <c r="E90">
        <v>336</v>
      </c>
    </row>
    <row r="91" spans="1:5" x14ac:dyDescent="0.2">
      <c r="A91" t="s">
        <v>34</v>
      </c>
      <c r="B91">
        <v>600</v>
      </c>
      <c r="C91">
        <v>590</v>
      </c>
      <c r="D91">
        <v>600</v>
      </c>
      <c r="E91">
        <v>338</v>
      </c>
    </row>
    <row r="92" spans="1:5" x14ac:dyDescent="0.2">
      <c r="A92" t="s">
        <v>33</v>
      </c>
      <c r="B92">
        <v>600</v>
      </c>
      <c r="C92">
        <v>433</v>
      </c>
      <c r="D92">
        <v>589</v>
      </c>
      <c r="E92">
        <v>506</v>
      </c>
    </row>
    <row r="93" spans="1:5" x14ac:dyDescent="0.2">
      <c r="A93" t="s">
        <v>34</v>
      </c>
      <c r="B93">
        <v>600</v>
      </c>
      <c r="C93">
        <v>588</v>
      </c>
      <c r="D93">
        <v>600</v>
      </c>
      <c r="E93">
        <v>336</v>
      </c>
    </row>
    <row r="94" spans="1:5" x14ac:dyDescent="0.2">
      <c r="A94" t="s">
        <v>33</v>
      </c>
      <c r="B94">
        <v>598</v>
      </c>
      <c r="C94">
        <v>600</v>
      </c>
      <c r="D94">
        <v>598</v>
      </c>
      <c r="E94">
        <v>332</v>
      </c>
    </row>
    <row r="95" spans="1:5" x14ac:dyDescent="0.2">
      <c r="A95" t="s">
        <v>34</v>
      </c>
      <c r="B95">
        <v>600</v>
      </c>
      <c r="C95">
        <v>590</v>
      </c>
      <c r="D95">
        <v>592</v>
      </c>
      <c r="E95">
        <v>342</v>
      </c>
    </row>
    <row r="96" spans="1:5" x14ac:dyDescent="0.2">
      <c r="A96" t="s">
        <v>33</v>
      </c>
      <c r="B96">
        <v>594</v>
      </c>
      <c r="C96">
        <v>590</v>
      </c>
      <c r="D96">
        <v>600</v>
      </c>
      <c r="E96">
        <v>344</v>
      </c>
    </row>
    <row r="97" spans="1:5" x14ac:dyDescent="0.2">
      <c r="A97" t="s">
        <v>34</v>
      </c>
      <c r="B97">
        <v>600</v>
      </c>
      <c r="C97">
        <v>590</v>
      </c>
      <c r="D97">
        <v>584</v>
      </c>
      <c r="E97">
        <v>350</v>
      </c>
    </row>
    <row r="98" spans="1:5" x14ac:dyDescent="0.2">
      <c r="A98" t="s">
        <v>33</v>
      </c>
      <c r="B98">
        <v>598</v>
      </c>
      <c r="C98">
        <v>598</v>
      </c>
      <c r="D98">
        <v>600</v>
      </c>
      <c r="E98">
        <v>332</v>
      </c>
    </row>
    <row r="99" spans="1:5" x14ac:dyDescent="0.2">
      <c r="A99" t="s">
        <v>34</v>
      </c>
      <c r="B99">
        <v>600</v>
      </c>
      <c r="C99">
        <v>590</v>
      </c>
      <c r="D99">
        <v>588</v>
      </c>
      <c r="E99">
        <v>346</v>
      </c>
    </row>
    <row r="100" spans="1:5" x14ac:dyDescent="0.2">
      <c r="A100" t="s">
        <v>33</v>
      </c>
      <c r="B100">
        <v>592</v>
      </c>
      <c r="C100">
        <v>600</v>
      </c>
      <c r="D100">
        <v>600</v>
      </c>
      <c r="E100">
        <v>336</v>
      </c>
    </row>
    <row r="101" spans="1:5" x14ac:dyDescent="0.2">
      <c r="A101" t="s">
        <v>34</v>
      </c>
      <c r="B101">
        <v>600</v>
      </c>
      <c r="C101">
        <v>590</v>
      </c>
      <c r="D101">
        <v>592</v>
      </c>
      <c r="E101">
        <v>342</v>
      </c>
    </row>
    <row r="102" spans="1:5" x14ac:dyDescent="0.2">
      <c r="A102" t="s">
        <v>33</v>
      </c>
      <c r="B102">
        <v>596</v>
      </c>
      <c r="C102">
        <v>592</v>
      </c>
      <c r="D102">
        <v>588</v>
      </c>
      <c r="E102">
        <v>348</v>
      </c>
    </row>
    <row r="103" spans="1:5" x14ac:dyDescent="0.2">
      <c r="A103" t="s">
        <v>34</v>
      </c>
      <c r="B103">
        <v>594</v>
      </c>
      <c r="C103">
        <v>594</v>
      </c>
      <c r="D103">
        <v>600</v>
      </c>
      <c r="E103">
        <v>340</v>
      </c>
    </row>
    <row r="104" spans="1:5" x14ac:dyDescent="0.2">
      <c r="A104" t="s">
        <v>33</v>
      </c>
      <c r="B104">
        <v>598</v>
      </c>
      <c r="C104">
        <v>600</v>
      </c>
      <c r="D104">
        <v>600</v>
      </c>
      <c r="E104">
        <v>326</v>
      </c>
    </row>
    <row r="105" spans="1:5" x14ac:dyDescent="0.2">
      <c r="A105" t="s">
        <v>34</v>
      </c>
      <c r="B105">
        <v>600</v>
      </c>
      <c r="C105">
        <v>590</v>
      </c>
      <c r="D105">
        <v>594</v>
      </c>
      <c r="E105">
        <v>344</v>
      </c>
    </row>
    <row r="106" spans="1:5" x14ac:dyDescent="0.2">
      <c r="A106" t="s">
        <v>33</v>
      </c>
      <c r="B106">
        <v>598</v>
      </c>
      <c r="C106">
        <v>598</v>
      </c>
      <c r="D106">
        <v>592</v>
      </c>
      <c r="E106">
        <v>336</v>
      </c>
    </row>
    <row r="107" spans="1:5" x14ac:dyDescent="0.2">
      <c r="A107" t="s">
        <v>34</v>
      </c>
      <c r="B107">
        <v>600</v>
      </c>
      <c r="C107">
        <v>590</v>
      </c>
      <c r="D107">
        <v>596</v>
      </c>
      <c r="E107">
        <v>342</v>
      </c>
    </row>
    <row r="108" spans="1:5" x14ac:dyDescent="0.2">
      <c r="A108" t="s">
        <v>33</v>
      </c>
      <c r="B108">
        <v>596</v>
      </c>
      <c r="C108">
        <v>596</v>
      </c>
      <c r="D108">
        <v>582</v>
      </c>
      <c r="E108">
        <v>354</v>
      </c>
    </row>
    <row r="109" spans="1:5" x14ac:dyDescent="0.2">
      <c r="A109" t="s">
        <v>34</v>
      </c>
      <c r="B109">
        <v>600</v>
      </c>
      <c r="C109">
        <v>592</v>
      </c>
      <c r="D109">
        <v>600</v>
      </c>
      <c r="E109">
        <v>332</v>
      </c>
    </row>
    <row r="110" spans="1:5" x14ac:dyDescent="0.2">
      <c r="A110" t="s">
        <v>33</v>
      </c>
      <c r="B110">
        <v>600</v>
      </c>
      <c r="C110">
        <v>596</v>
      </c>
      <c r="D110">
        <v>600</v>
      </c>
      <c r="E110">
        <v>332</v>
      </c>
    </row>
    <row r="111" spans="1:5" x14ac:dyDescent="0.2">
      <c r="A111" t="s">
        <v>34</v>
      </c>
      <c r="B111">
        <v>600</v>
      </c>
      <c r="C111">
        <v>590</v>
      </c>
      <c r="D111">
        <v>596</v>
      </c>
      <c r="E111">
        <v>338</v>
      </c>
    </row>
    <row r="112" spans="1:5" x14ac:dyDescent="0.2">
      <c r="A112" t="s">
        <v>33</v>
      </c>
      <c r="B112">
        <v>598</v>
      </c>
      <c r="C112">
        <v>600</v>
      </c>
      <c r="D112">
        <v>598</v>
      </c>
      <c r="E112">
        <v>332</v>
      </c>
    </row>
    <row r="113" spans="1:5" x14ac:dyDescent="0.2">
      <c r="A113" t="s">
        <v>34</v>
      </c>
      <c r="B113">
        <v>600</v>
      </c>
      <c r="C113">
        <v>590</v>
      </c>
      <c r="D113">
        <v>596</v>
      </c>
      <c r="E113">
        <v>338</v>
      </c>
    </row>
    <row r="114" spans="1:5" x14ac:dyDescent="0.2">
      <c r="A114" t="s">
        <v>33</v>
      </c>
      <c r="B114">
        <v>598</v>
      </c>
      <c r="C114">
        <v>592</v>
      </c>
      <c r="D114">
        <v>600</v>
      </c>
      <c r="E114">
        <v>334</v>
      </c>
    </row>
    <row r="115" spans="1:5" x14ac:dyDescent="0.2">
      <c r="A115" t="s">
        <v>34</v>
      </c>
      <c r="B115">
        <v>600</v>
      </c>
      <c r="C115">
        <v>590</v>
      </c>
      <c r="D115">
        <v>600</v>
      </c>
      <c r="E115">
        <v>338</v>
      </c>
    </row>
    <row r="116" spans="1:5" x14ac:dyDescent="0.2">
      <c r="A116" t="s">
        <v>33</v>
      </c>
      <c r="B116">
        <v>592</v>
      </c>
      <c r="C116">
        <v>598</v>
      </c>
      <c r="D116">
        <v>600</v>
      </c>
      <c r="E116">
        <v>338</v>
      </c>
    </row>
    <row r="117" spans="1:5" x14ac:dyDescent="0.2">
      <c r="A117" t="s">
        <v>34</v>
      </c>
      <c r="B117">
        <v>600</v>
      </c>
      <c r="C117">
        <v>590</v>
      </c>
      <c r="D117">
        <v>592</v>
      </c>
      <c r="E117">
        <v>342</v>
      </c>
    </row>
    <row r="118" spans="1:5" x14ac:dyDescent="0.2">
      <c r="A118" t="s">
        <v>33</v>
      </c>
      <c r="B118">
        <v>596</v>
      </c>
      <c r="C118">
        <v>600</v>
      </c>
      <c r="D118">
        <v>600</v>
      </c>
      <c r="E118">
        <v>328</v>
      </c>
    </row>
    <row r="119" spans="1:5" x14ac:dyDescent="0.2">
      <c r="A119" t="s">
        <v>34</v>
      </c>
      <c r="B119">
        <v>600</v>
      </c>
      <c r="C119">
        <v>590</v>
      </c>
      <c r="D119">
        <v>600</v>
      </c>
      <c r="E119">
        <v>338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stats_DesertRegion_uav2.txt3593</vt:lpstr>
      <vt:lpstr>cell-per-subpath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2023-03-04T01:21:22Z</dcterms:created>
  <dcterms:modified xsi:type="dcterms:W3CDTF">2023-03-04T11:34:17Z</dcterms:modified>
</cp:coreProperties>
</file>