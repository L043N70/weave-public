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5A2D2A9B-ACF7-254E-82A0-AE3650AEEA37}" xr6:coauthVersionLast="47" xr6:coauthVersionMax="47" xr10:uidLastSave="{00000000-0000-0000-0000-000000000000}"/>
  <bookViews>
    <workbookView xWindow="3420" yWindow="1000" windowWidth="25380" windowHeight="15300" activeTab="1" xr2:uid="{00000000-000D-0000-FFFF-FFFF00000000}"/>
  </bookViews>
  <sheets>
    <sheet name="stats_DesertRegion_uav3.txt3724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I4" i="2"/>
  <c r="I5" i="2"/>
  <c r="I3" i="2"/>
  <c r="H3" i="2"/>
  <c r="G6" i="2"/>
  <c r="G4" i="2"/>
  <c r="G5" i="2"/>
  <c r="G3" i="2"/>
  <c r="H6" i="2" l="1"/>
  <c r="I6" i="2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N96" i="1"/>
</calcChain>
</file>

<file path=xl/sharedStrings.xml><?xml version="1.0" encoding="utf-8"?>
<sst xmlns="http://schemas.openxmlformats.org/spreadsheetml/2006/main" count="698" uniqueCount="44">
  <si>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</si>
  <si>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</si>
  <si>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</si>
  <si>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</si>
  <si>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</si>
  <si>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</si>
  <si>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</si>
  <si>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</si>
  <si>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</si>
  <si>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</si>
  <si>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</si>
  <si>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</si>
  <si>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</si>
  <si>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</si>
  <si>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</si>
  <si>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</si>
  <si>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</si>
  <si>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</si>
  <si>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</si>
  <si>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</si>
  <si>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</si>
  <si>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</si>
  <si>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</si>
  <si>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</si>
  <si>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</si>
  <si>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</si>
  <si>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</si>
  <si>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</si>
  <si>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</si>
  <si>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</si>
  <si>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</si>
  <si>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</si>
  <si>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</si>
  <si>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</si>
  <si>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UAV 2</t>
  </si>
  <si>
    <t>UAV 3</t>
  </si>
  <si>
    <t>energy</t>
  </si>
  <si>
    <t>Colonna1</t>
  </si>
  <si>
    <t>Colonna2</t>
  </si>
  <si>
    <t>Colonna3</t>
  </si>
  <si>
    <t>Colonna4</t>
  </si>
  <si>
    <t>1st</t>
  </si>
  <si>
    <t>2nd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</si>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</sst>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AC96" totalsRowCount="1">
  <autoFilter ref="A1:AC95" xr:uid="{00000000-0009-0000-0100-000001000000}"/>
  <tableColumns count="29">
    <tableColumn id="1" xr3:uid="{00000000-0010-0000-0000-000001000000}" name="macro_grid_resolution"/>
    <tableColumn id="2" xr3:uid="{00000000-0010-0000-0000-000002000000}" name="micro_grid_resolution"/>
    <tableColumn id="3" xr3:uid="{00000000-0010-0000-0000-000003000000}" name="micro_grid_dimension_cells"/>
    <tableColumn id="4" xr3:uid="{00000000-0010-0000-0000-000004000000}" name="no_fly_zone_cells"/>
    <tableColumn id="5" xr3:uid="{00000000-0010-0000-0000-000005000000}" name="no_fly_zone_%_of_scenario_cells"/>
    <tableColumn id="6" xr3:uid="{00000000-0010-0000-0000-000006000000}" name="roi_dimension_cells"/>
    <tableColumn id="7" xr3:uid="{00000000-0010-0000-0000-000007000000}" name="roi_dimension_%_of_scenario_cells"/>
    <tableColumn id="8" xr3:uid="{00000000-0010-0000-0000-000008000000}" name="roads_cells"/>
    <tableColumn id="9" xr3:uid="{00000000-0010-0000-0000-000009000000}" name="roads_%_of_roi_cells"/>
    <tableColumn id="10" xr3:uid="{00000000-0010-0000-0000-00000A000000}" name="starting_weather_conditions"/>
    <tableColumn id="11" xr3:uid="{00000000-0010-0000-0000-00000B000000}" name="starting_uavs_autonomy_cells"/>
    <tableColumn id="12" xr3:uid="{00000000-0010-0000-0000-00000C000000}" name="weather_forecasts"/>
    <tableColumn id="13" xr3:uid="{00000000-0010-0000-0000-00000D000000}" name="max_number_of_uavs"/>
    <tableColumn id="14" xr3:uid="{00000000-0010-0000-0000-00000E000000}" name="number_of_bsss_used" totalsRowFunction="custom">
      <totalsRowFormula>AVERAGE(Tabella1[number_of_bsss_used])</totalsRowFormula>
    </tableColumn>
    <tableColumn id="15" xr3:uid="{00000000-0010-0000-0000-00000F000000}" name="cumulative_energy_used_by_uavs" totalsRowFunction="custom">
      <totalsRowFormula>AVERAGE(Tabella1[cumulative_energy_used_by_uavs])</totalsRowFormula>
    </tableColumn>
    <tableColumn id="16" xr3:uid="{00000000-0010-0000-0000-000010000000}" name="cumulative_energy_wasted_by_uavs" totalsRowFunction="custom">
      <totalsRowFormula>AVERAGE(Tabella1[cumulative_energy_wasted_by_uavs])</totalsRowFormula>
    </tableColumn>
    <tableColumn id="17" xr3:uid="{00000000-0010-0000-0000-000011000000}" name="cumulative_number_of_batteries_used_by_uavs" totalsRowFunction="custom">
      <totalsRowFormula>AVERAGE(Tabella1[cumulative_number_of_batteries_used_by_uavs])</totalsRowFormula>
    </tableColumn>
    <tableColumn id="18" xr3:uid="{00000000-0010-0000-0000-000012000000}" name="mission_time_seconds" totalsRowFunction="custom">
      <totalsRowFormula>AVERAGE(Tabella1[mission_time_seconds])</totalsRowFormula>
    </tableColumn>
    <tableColumn id="19" xr3:uid="{00000000-0010-0000-0000-000013000000}" name="bsss_mission_time_seconds" totalsRowFunction="custom">
      <totalsRowFormula>AVERAGE(Tabella1[bsss_mission_time_seconds])</totalsRowFormula>
    </tableColumn>
    <tableColumn id="20" xr3:uid="{00000000-0010-0000-0000-000014000000}" name="cumulative_swap_time_seconds" totalsRowFunction="custom">
      <totalsRowFormula>AVERAGE(Tabella1[cumulative_swap_time_seconds])</totalsRowFormula>
    </tableColumn>
    <tableColumn id="21" xr3:uid="{00000000-0010-0000-0000-000015000000}" name="darp_execution_time_seconds" totalsRowFunction="custom">
      <totalsRowFormula>AVERAGE(Tabella1[darp_execution_time_seconds])</totalsRowFormula>
    </tableColumn>
    <tableColumn id="22" xr3:uid="{00000000-0010-0000-0000-000016000000}" name="stc_execution_time_seconds" totalsRowFunction="custom">
      <totalsRowFormula>AVERAGE(Tabella1[stc_execution_time_seconds])</totalsRowFormula>
    </tableColumn>
    <tableColumn id="23" xr3:uid="{00000000-0010-0000-0000-000017000000}" name="pp_uavs_execution_time_seconds" totalsRowFunction="custom">
      <totalsRowFormula>AVERAGE(Tabella1[pp_uavs_execution_time_seconds])</totalsRowFormula>
    </tableColumn>
    <tableColumn id="24" xr3:uid="{00000000-0010-0000-0000-000018000000}" name="pp_bsss_execution_time_seconds" totalsRowFunction="custom">
      <totalsRowFormula>AVERAGE(Tabella1[pp_bsss_execution_time_seconds])</totalsRowFormula>
    </tableColumn>
    <tableColumn id="25" xr3:uid="{00000000-0010-0000-0000-000019000000}" name="total_execution_time_seconds"/>
    <tableColumn id="26" xr3:uid="{00000000-0010-0000-0000-00001A000000}" name="darpfailures" totalsRowFunction="custom">
      <totalsRowFormula>AVERAGE(Tabella1[darpfailures])</totalsRowFormula>
    </tableColumn>
    <tableColumn id="27" xr3:uid="{00000000-0010-0000-0000-00001B000000}" name="ppbssfailures" totalsRowFunction="custom">
      <totalsRowFormula>AVERAGE(Tabella1[ppbssfailures])</totalsRowFormula>
    </tableColumn>
    <tableColumn id="28" xr3:uid="{00000000-0010-0000-0000-00001C000000}" name="ppuavfailures" totalsRowFunction="custom">
      <totalsRowFormula>AVERAGE(Tabella1[ppuavfailures])</totalsRowFormula>
    </tableColumn>
    <tableColumn id="29" xr3:uid="{00000000-0010-0000-0000-00001D000000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FD497-9F0A-4E47-AF46-46AC9E001DB3}" name="Tabella2" displayName="Tabella2" ref="A3:D285" totalsRowShown="0">
  <autoFilter ref="A3:D285" xr:uid="{B31FD497-9F0A-4E47-AF46-46AC9E001DB3}"/>
  <tableColumns count="4">
    <tableColumn id="1" xr3:uid="{CE1D6BD6-83CF-7243-AFA4-FD57C512D171}" name="Colonna1"/>
    <tableColumn id="2" xr3:uid="{815F6F31-C2CA-6F4A-AC3A-07DD8ED7CC9B}" name="Colonna2"/>
    <tableColumn id="3" xr3:uid="{14F92EB5-A52E-7740-ADAA-15DBDD27F109}" name="Colonna3"/>
    <tableColumn id="4" xr3:uid="{7BE45E0D-5472-1847-8681-F2D6E7E51F0B}" name="Colonna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"/>
  <sheetViews>
    <sheetView topLeftCell="V67" workbookViewId="0">
      <selection activeCell="Y80" sqref="Y80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3</v>
      </c>
      <c r="N2">
        <v>3</v>
      </c>
      <c r="O2">
        <v>4269</v>
      </c>
      <c r="P2">
        <v>17</v>
      </c>
      <c r="Q2">
        <v>9</v>
      </c>
      <c r="R2">
        <v>1780</v>
      </c>
      <c r="S2">
        <v>100</v>
      </c>
      <c r="T2">
        <v>1080</v>
      </c>
      <c r="U2">
        <v>0.73920600000000003</v>
      </c>
      <c r="V2">
        <v>4.3124999999999997E-2</v>
      </c>
      <c r="W2">
        <v>2.0089999999999999E-3</v>
      </c>
      <c r="X2">
        <v>4.888E-3</v>
      </c>
      <c r="Y2">
        <v>0.78929899999999997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3</v>
      </c>
      <c r="N3">
        <v>3</v>
      </c>
      <c r="O3">
        <v>4264</v>
      </c>
      <c r="P3">
        <v>12</v>
      </c>
      <c r="Q3">
        <v>9</v>
      </c>
      <c r="R3">
        <v>1780</v>
      </c>
      <c r="S3">
        <v>100</v>
      </c>
      <c r="T3">
        <v>1080</v>
      </c>
      <c r="U3">
        <v>0.29938700000000001</v>
      </c>
      <c r="V3">
        <v>4.3756999999999997E-2</v>
      </c>
      <c r="W3">
        <v>1.952E-3</v>
      </c>
      <c r="X3">
        <v>4.816E-3</v>
      </c>
      <c r="Y3">
        <v>0.34998699999999999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3</v>
      </c>
      <c r="N4">
        <v>3</v>
      </c>
      <c r="O4">
        <v>4264</v>
      </c>
      <c r="P4">
        <v>12</v>
      </c>
      <c r="Q4">
        <v>9</v>
      </c>
      <c r="R4">
        <v>1780</v>
      </c>
      <c r="S4">
        <v>95</v>
      </c>
      <c r="T4">
        <v>1080</v>
      </c>
      <c r="U4">
        <v>0.40386699999999998</v>
      </c>
      <c r="V4">
        <v>4.2583000000000003E-2</v>
      </c>
      <c r="W4">
        <v>1.9710000000000001E-3</v>
      </c>
      <c r="X4">
        <v>7.2550000000000002E-3</v>
      </c>
      <c r="Y4">
        <v>0.45573900000000001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3</v>
      </c>
      <c r="N5">
        <v>3</v>
      </c>
      <c r="O5">
        <v>4287</v>
      </c>
      <c r="P5">
        <v>35</v>
      </c>
      <c r="Q5">
        <v>9</v>
      </c>
      <c r="R5">
        <v>1780</v>
      </c>
      <c r="S5">
        <v>83</v>
      </c>
      <c r="T5">
        <v>1080</v>
      </c>
      <c r="U5">
        <v>0.34894199999999997</v>
      </c>
      <c r="V5">
        <v>4.2819999999999997E-2</v>
      </c>
      <c r="W5">
        <v>1.9719999999999998E-3</v>
      </c>
      <c r="X5">
        <v>3.336E-3</v>
      </c>
      <c r="Y5">
        <v>0.397142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3</v>
      </c>
      <c r="N6">
        <v>3</v>
      </c>
      <c r="O6">
        <v>4260</v>
      </c>
      <c r="P6">
        <v>8</v>
      </c>
      <c r="Q6">
        <v>9</v>
      </c>
      <c r="R6">
        <v>1780</v>
      </c>
      <c r="S6">
        <v>99</v>
      </c>
      <c r="T6">
        <v>1080</v>
      </c>
      <c r="U6">
        <v>1.3978139999999999</v>
      </c>
      <c r="V6">
        <v>4.3186000000000002E-2</v>
      </c>
      <c r="W6">
        <v>1.882E-3</v>
      </c>
      <c r="X6">
        <v>4.202E-3</v>
      </c>
      <c r="Y6">
        <v>1.447152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3</v>
      </c>
      <c r="N7">
        <v>3</v>
      </c>
      <c r="O7">
        <v>4276</v>
      </c>
      <c r="P7">
        <v>24</v>
      </c>
      <c r="Q7">
        <v>9</v>
      </c>
      <c r="R7">
        <v>1780</v>
      </c>
      <c r="S7">
        <v>108</v>
      </c>
      <c r="T7">
        <v>1080</v>
      </c>
      <c r="U7">
        <v>0.19178400000000001</v>
      </c>
      <c r="V7">
        <v>4.2408000000000001E-2</v>
      </c>
      <c r="W7">
        <v>1.9319999999999999E-3</v>
      </c>
      <c r="X7">
        <v>2.885E-3</v>
      </c>
      <c r="Y7">
        <v>0.23907300000000001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3</v>
      </c>
      <c r="N8">
        <v>3</v>
      </c>
      <c r="O8">
        <v>4265</v>
      </c>
      <c r="P8">
        <v>13</v>
      </c>
      <c r="Q8">
        <v>9</v>
      </c>
      <c r="R8">
        <v>1780</v>
      </c>
      <c r="S8">
        <v>94</v>
      </c>
      <c r="T8">
        <v>1080</v>
      </c>
      <c r="U8">
        <v>0.22657099999999999</v>
      </c>
      <c r="V8">
        <v>4.3804000000000003E-2</v>
      </c>
      <c r="W8">
        <v>2.545E-3</v>
      </c>
      <c r="X8">
        <v>3.875E-3</v>
      </c>
      <c r="Y8">
        <v>0.276866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3</v>
      </c>
      <c r="N9">
        <v>3</v>
      </c>
      <c r="O9">
        <v>4276</v>
      </c>
      <c r="P9">
        <v>24</v>
      </c>
      <c r="Q9">
        <v>9</v>
      </c>
      <c r="R9">
        <v>1780</v>
      </c>
      <c r="S9">
        <v>94</v>
      </c>
      <c r="T9">
        <v>1080</v>
      </c>
      <c r="U9">
        <v>0.40922999999999998</v>
      </c>
      <c r="V9">
        <v>4.1972000000000002E-2</v>
      </c>
      <c r="W9">
        <v>2.5850000000000001E-3</v>
      </c>
      <c r="X9">
        <v>3.4529999999999999E-3</v>
      </c>
      <c r="Y9">
        <v>0.45730799999999999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3</v>
      </c>
      <c r="N10">
        <v>3</v>
      </c>
      <c r="O10">
        <v>4267</v>
      </c>
      <c r="P10">
        <v>15</v>
      </c>
      <c r="Q10">
        <v>9</v>
      </c>
      <c r="R10">
        <v>1780</v>
      </c>
      <c r="S10">
        <v>77</v>
      </c>
      <c r="T10">
        <v>1080</v>
      </c>
      <c r="U10">
        <v>0.24928</v>
      </c>
      <c r="V10">
        <v>4.2831000000000001E-2</v>
      </c>
      <c r="W10">
        <v>2.32E-3</v>
      </c>
      <c r="X10">
        <v>2.2759999999999998E-3</v>
      </c>
      <c r="Y10">
        <v>0.29677199999999998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3</v>
      </c>
      <c r="N11">
        <v>3</v>
      </c>
      <c r="O11">
        <v>4274</v>
      </c>
      <c r="P11">
        <v>22</v>
      </c>
      <c r="Q11">
        <v>9</v>
      </c>
      <c r="R11">
        <v>1780</v>
      </c>
      <c r="S11">
        <v>101</v>
      </c>
      <c r="T11">
        <v>1080</v>
      </c>
      <c r="U11">
        <v>0.75299899999999997</v>
      </c>
      <c r="V11">
        <v>4.2818000000000002E-2</v>
      </c>
      <c r="W11">
        <v>2.2899999999999999E-3</v>
      </c>
      <c r="X11">
        <v>1.916E-3</v>
      </c>
      <c r="Y11">
        <v>0.80008800000000002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3</v>
      </c>
      <c r="N12">
        <v>3</v>
      </c>
      <c r="O12">
        <v>4270</v>
      </c>
      <c r="P12">
        <v>18</v>
      </c>
      <c r="Q12">
        <v>9</v>
      </c>
      <c r="R12">
        <v>1780</v>
      </c>
      <c r="S12">
        <v>101</v>
      </c>
      <c r="T12">
        <v>1080</v>
      </c>
      <c r="U12">
        <v>0.75036899999999995</v>
      </c>
      <c r="V12">
        <v>4.3473999999999999E-2</v>
      </c>
      <c r="W12">
        <v>2.2880000000000001E-3</v>
      </c>
      <c r="X12">
        <v>1.619E-3</v>
      </c>
      <c r="Y12">
        <v>0.797817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3</v>
      </c>
      <c r="N13">
        <v>3</v>
      </c>
      <c r="O13">
        <v>4306</v>
      </c>
      <c r="P13">
        <v>54</v>
      </c>
      <c r="Q13">
        <v>9</v>
      </c>
      <c r="R13">
        <v>1780</v>
      </c>
      <c r="S13">
        <v>77</v>
      </c>
      <c r="T13">
        <v>1080</v>
      </c>
      <c r="U13">
        <v>2.2652239999999999</v>
      </c>
      <c r="V13">
        <v>4.4163000000000001E-2</v>
      </c>
      <c r="W13">
        <v>2.3839999999999998E-3</v>
      </c>
      <c r="X13">
        <v>1.126E-3</v>
      </c>
      <c r="Y13">
        <v>2.312967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3</v>
      </c>
      <c r="N14">
        <v>3</v>
      </c>
      <c r="O14">
        <v>4271</v>
      </c>
      <c r="P14">
        <v>19</v>
      </c>
      <c r="Q14">
        <v>9</v>
      </c>
      <c r="R14">
        <v>1780</v>
      </c>
      <c r="S14">
        <v>143</v>
      </c>
      <c r="T14">
        <v>1080</v>
      </c>
      <c r="U14">
        <v>0.16542899999999999</v>
      </c>
      <c r="V14">
        <v>4.2257999999999997E-2</v>
      </c>
      <c r="W14">
        <v>2.3289999999999999E-3</v>
      </c>
      <c r="X14">
        <v>6.6179999999999998E-3</v>
      </c>
      <c r="Y14">
        <v>0.21671399999999999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3</v>
      </c>
      <c r="N15">
        <v>3</v>
      </c>
      <c r="O15">
        <v>4270</v>
      </c>
      <c r="P15">
        <v>18</v>
      </c>
      <c r="Q15">
        <v>9</v>
      </c>
      <c r="R15">
        <v>1780</v>
      </c>
      <c r="S15">
        <v>75</v>
      </c>
      <c r="T15">
        <v>1080</v>
      </c>
      <c r="U15">
        <v>1.1642680000000001</v>
      </c>
      <c r="V15">
        <v>4.2894000000000002E-2</v>
      </c>
      <c r="W15">
        <v>2.2190000000000001E-3</v>
      </c>
      <c r="X15">
        <v>1.4189999999999999E-3</v>
      </c>
      <c r="Y15">
        <v>1.210874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3</v>
      </c>
      <c r="N16">
        <v>3</v>
      </c>
      <c r="O16">
        <v>4274</v>
      </c>
      <c r="P16">
        <v>22</v>
      </c>
      <c r="Q16">
        <v>9</v>
      </c>
      <c r="R16">
        <v>1780</v>
      </c>
      <c r="S16">
        <v>106</v>
      </c>
      <c r="T16">
        <v>1080</v>
      </c>
      <c r="U16">
        <v>0.87790500000000005</v>
      </c>
      <c r="V16">
        <v>4.4646999999999999E-2</v>
      </c>
      <c r="W16">
        <v>2.0409999999999998E-3</v>
      </c>
      <c r="X16">
        <v>7.5799999999999999E-3</v>
      </c>
      <c r="Y16">
        <v>0.932257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3</v>
      </c>
      <c r="N17">
        <v>3</v>
      </c>
      <c r="O17">
        <v>4258</v>
      </c>
      <c r="P17">
        <v>6</v>
      </c>
      <c r="Q17">
        <v>9</v>
      </c>
      <c r="R17">
        <v>1780</v>
      </c>
      <c r="S17">
        <v>107</v>
      </c>
      <c r="T17">
        <v>1080</v>
      </c>
      <c r="U17">
        <v>1.1582460000000001</v>
      </c>
      <c r="V17">
        <v>4.3840999999999998E-2</v>
      </c>
      <c r="W17">
        <v>2.026E-3</v>
      </c>
      <c r="X17">
        <v>4.339E-3</v>
      </c>
      <c r="Y17">
        <v>1.2085269999999999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3</v>
      </c>
      <c r="N18">
        <v>3</v>
      </c>
      <c r="O18">
        <v>4269</v>
      </c>
      <c r="P18">
        <v>17</v>
      </c>
      <c r="Q18">
        <v>9</v>
      </c>
      <c r="R18">
        <v>1780</v>
      </c>
      <c r="S18">
        <v>138</v>
      </c>
      <c r="T18">
        <v>1080</v>
      </c>
      <c r="U18">
        <v>0.587202</v>
      </c>
      <c r="V18">
        <v>4.4223999999999999E-2</v>
      </c>
      <c r="W18">
        <v>2.0140000000000002E-3</v>
      </c>
      <c r="X18">
        <v>6.1339999999999997E-3</v>
      </c>
      <c r="Y18">
        <v>0.63964699999999997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3</v>
      </c>
      <c r="N19">
        <v>3</v>
      </c>
      <c r="O19">
        <v>4278</v>
      </c>
      <c r="P19">
        <v>26</v>
      </c>
      <c r="Q19">
        <v>9</v>
      </c>
      <c r="R19">
        <v>1780</v>
      </c>
      <c r="S19">
        <v>86</v>
      </c>
      <c r="T19">
        <v>1080</v>
      </c>
      <c r="U19">
        <v>0.59779199999999999</v>
      </c>
      <c r="V19">
        <v>4.2827999999999998E-2</v>
      </c>
      <c r="W19">
        <v>1.99E-3</v>
      </c>
      <c r="X19">
        <v>3.5260000000000001E-3</v>
      </c>
      <c r="Y19">
        <v>0.646208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3</v>
      </c>
      <c r="N20">
        <v>3</v>
      </c>
      <c r="O20">
        <v>4264</v>
      </c>
      <c r="P20">
        <v>12</v>
      </c>
      <c r="Q20">
        <v>9</v>
      </c>
      <c r="R20">
        <v>1780</v>
      </c>
      <c r="S20">
        <v>98</v>
      </c>
      <c r="T20">
        <v>1080</v>
      </c>
      <c r="U20">
        <v>0.26209399999999999</v>
      </c>
      <c r="V20">
        <v>4.4818999999999998E-2</v>
      </c>
      <c r="W20">
        <v>2.039E-3</v>
      </c>
      <c r="X20">
        <v>5.3200000000000001E-3</v>
      </c>
      <c r="Y20">
        <v>0.31434800000000002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3</v>
      </c>
      <c r="N21">
        <v>3</v>
      </c>
      <c r="O21">
        <v>4276</v>
      </c>
      <c r="P21">
        <v>24</v>
      </c>
      <c r="Q21">
        <v>9</v>
      </c>
      <c r="R21">
        <v>1780</v>
      </c>
      <c r="S21">
        <v>68</v>
      </c>
      <c r="T21">
        <v>1080</v>
      </c>
      <c r="U21">
        <v>0.23102600000000001</v>
      </c>
      <c r="V21">
        <v>4.3439999999999999E-2</v>
      </c>
      <c r="W21">
        <v>2.0300000000000001E-3</v>
      </c>
      <c r="X21">
        <v>9.5399999999999999E-4</v>
      </c>
      <c r="Y21">
        <v>0.27752100000000002</v>
      </c>
      <c r="Z21">
        <v>1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3</v>
      </c>
      <c r="N22">
        <v>3</v>
      </c>
      <c r="O22">
        <v>4264</v>
      </c>
      <c r="P22">
        <v>12</v>
      </c>
      <c r="Q22">
        <v>9</v>
      </c>
      <c r="R22">
        <v>1780</v>
      </c>
      <c r="S22">
        <v>113</v>
      </c>
      <c r="T22">
        <v>1080</v>
      </c>
      <c r="U22">
        <v>0.49415199999999998</v>
      </c>
      <c r="V22">
        <v>4.4225E-2</v>
      </c>
      <c r="W22">
        <v>1.983E-3</v>
      </c>
      <c r="X22">
        <v>5.1450000000000003E-3</v>
      </c>
      <c r="Y22">
        <v>0.54557500000000003</v>
      </c>
      <c r="Z22">
        <v>1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3</v>
      </c>
      <c r="N23">
        <v>3</v>
      </c>
      <c r="O23">
        <v>4307</v>
      </c>
      <c r="P23">
        <v>55</v>
      </c>
      <c r="Q23">
        <v>9</v>
      </c>
      <c r="R23">
        <v>1780</v>
      </c>
      <c r="S23">
        <v>109</v>
      </c>
      <c r="T23">
        <v>1080</v>
      </c>
      <c r="U23">
        <v>0.99107900000000004</v>
      </c>
      <c r="V23">
        <v>4.4643000000000002E-2</v>
      </c>
      <c r="W23">
        <v>2.0720000000000001E-3</v>
      </c>
      <c r="X23">
        <v>7.6550000000000003E-3</v>
      </c>
      <c r="Y23">
        <v>1.04552</v>
      </c>
      <c r="Z23">
        <v>1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3</v>
      </c>
      <c r="N24">
        <v>3</v>
      </c>
      <c r="O24">
        <v>4329</v>
      </c>
      <c r="P24">
        <v>77</v>
      </c>
      <c r="Q24">
        <v>9</v>
      </c>
      <c r="R24">
        <v>1780</v>
      </c>
      <c r="S24">
        <v>70</v>
      </c>
      <c r="T24">
        <v>1080</v>
      </c>
      <c r="U24">
        <v>0.42092000000000002</v>
      </c>
      <c r="V24">
        <v>4.3105999999999998E-2</v>
      </c>
      <c r="W24">
        <v>2.1220000000000002E-3</v>
      </c>
      <c r="X24">
        <v>1.01E-3</v>
      </c>
      <c r="Y24">
        <v>0.46722999999999998</v>
      </c>
      <c r="Z24">
        <v>1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3</v>
      </c>
      <c r="N25">
        <v>3</v>
      </c>
      <c r="O25">
        <v>4267</v>
      </c>
      <c r="P25">
        <v>15</v>
      </c>
      <c r="Q25">
        <v>9</v>
      </c>
      <c r="R25">
        <v>1780</v>
      </c>
      <c r="S25">
        <v>91</v>
      </c>
      <c r="T25">
        <v>1080</v>
      </c>
      <c r="U25">
        <v>0.308944</v>
      </c>
      <c r="V25">
        <v>4.2868999999999997E-2</v>
      </c>
      <c r="W25">
        <v>1.9810000000000001E-3</v>
      </c>
      <c r="X25">
        <v>2.9220000000000001E-3</v>
      </c>
      <c r="Y25">
        <v>0.35678300000000002</v>
      </c>
      <c r="Z25">
        <v>1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3</v>
      </c>
      <c r="N26">
        <v>3</v>
      </c>
      <c r="O26">
        <v>4264</v>
      </c>
      <c r="P26">
        <v>12</v>
      </c>
      <c r="Q26">
        <v>9</v>
      </c>
      <c r="R26">
        <v>1780</v>
      </c>
      <c r="S26">
        <v>78</v>
      </c>
      <c r="T26">
        <v>1080</v>
      </c>
      <c r="U26">
        <v>0.62610299999999997</v>
      </c>
      <c r="V26">
        <v>4.2750999999999997E-2</v>
      </c>
      <c r="W26">
        <v>2.0049999999999998E-3</v>
      </c>
      <c r="X26">
        <v>2.2390000000000001E-3</v>
      </c>
      <c r="Y26">
        <v>0.67316699999999996</v>
      </c>
      <c r="Z26">
        <v>2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3</v>
      </c>
      <c r="N27">
        <v>3</v>
      </c>
      <c r="O27">
        <v>4252</v>
      </c>
      <c r="P27">
        <v>0</v>
      </c>
      <c r="Q27">
        <v>9</v>
      </c>
      <c r="R27">
        <v>1780</v>
      </c>
      <c r="S27">
        <v>133</v>
      </c>
      <c r="T27">
        <v>1080</v>
      </c>
      <c r="U27">
        <v>0.48415399999999997</v>
      </c>
      <c r="V27">
        <v>4.2798999999999997E-2</v>
      </c>
      <c r="W27">
        <v>1.9740000000000001E-3</v>
      </c>
      <c r="X27">
        <v>7.4489999999999999E-3</v>
      </c>
      <c r="Y27">
        <v>0.53644700000000001</v>
      </c>
      <c r="Z27">
        <v>2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3</v>
      </c>
      <c r="N28">
        <v>3</v>
      </c>
      <c r="O28">
        <v>4274</v>
      </c>
      <c r="P28">
        <v>22</v>
      </c>
      <c r="Q28">
        <v>9</v>
      </c>
      <c r="R28">
        <v>1780</v>
      </c>
      <c r="S28">
        <v>109</v>
      </c>
      <c r="T28">
        <v>1080</v>
      </c>
      <c r="U28">
        <v>0.51123300000000005</v>
      </c>
      <c r="V28">
        <v>4.2959999999999998E-2</v>
      </c>
      <c r="W28">
        <v>2.032E-3</v>
      </c>
      <c r="X28">
        <v>1.0485E-2</v>
      </c>
      <c r="Y28">
        <v>0.56678300000000004</v>
      </c>
      <c r="Z28">
        <v>3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3</v>
      </c>
      <c r="N29">
        <v>3</v>
      </c>
      <c r="O29">
        <v>4256</v>
      </c>
      <c r="P29">
        <v>4</v>
      </c>
      <c r="Q29">
        <v>9</v>
      </c>
      <c r="R29">
        <v>1780</v>
      </c>
      <c r="S29">
        <v>114</v>
      </c>
      <c r="T29">
        <v>1080</v>
      </c>
      <c r="U29">
        <v>0.54354599999999997</v>
      </c>
      <c r="V29">
        <v>4.2865E-2</v>
      </c>
      <c r="W29">
        <v>2.0590000000000001E-3</v>
      </c>
      <c r="X29">
        <v>6.8570000000000002E-3</v>
      </c>
      <c r="Y29">
        <v>0.59540099999999996</v>
      </c>
      <c r="Z29">
        <v>3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3</v>
      </c>
      <c r="N30">
        <v>3</v>
      </c>
      <c r="O30">
        <v>4254</v>
      </c>
      <c r="P30">
        <v>2</v>
      </c>
      <c r="Q30">
        <v>9</v>
      </c>
      <c r="R30">
        <v>1780</v>
      </c>
      <c r="S30">
        <v>93</v>
      </c>
      <c r="T30">
        <v>1080</v>
      </c>
      <c r="U30">
        <v>0.79264100000000004</v>
      </c>
      <c r="V30">
        <v>4.2785999999999998E-2</v>
      </c>
      <c r="W30">
        <v>2.0400000000000001E-3</v>
      </c>
      <c r="X30">
        <v>2.0409999999999998E-3</v>
      </c>
      <c r="Y30">
        <v>0.83958100000000002</v>
      </c>
      <c r="Z30">
        <v>4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3</v>
      </c>
      <c r="N31">
        <v>3</v>
      </c>
      <c r="O31">
        <v>4264</v>
      </c>
      <c r="P31">
        <v>12</v>
      </c>
      <c r="Q31">
        <v>9</v>
      </c>
      <c r="R31">
        <v>1780</v>
      </c>
      <c r="S31">
        <v>99</v>
      </c>
      <c r="T31">
        <v>1080</v>
      </c>
      <c r="U31">
        <v>0.40526000000000001</v>
      </c>
      <c r="V31">
        <v>4.2906E-2</v>
      </c>
      <c r="W31">
        <v>1.9889999999999999E-3</v>
      </c>
      <c r="X31">
        <v>5.1539999999999997E-3</v>
      </c>
      <c r="Y31">
        <v>0.455376</v>
      </c>
      <c r="Z31">
        <v>4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3</v>
      </c>
      <c r="N32">
        <v>3</v>
      </c>
      <c r="O32">
        <v>4285</v>
      </c>
      <c r="P32">
        <v>33</v>
      </c>
      <c r="Q32">
        <v>9</v>
      </c>
      <c r="R32">
        <v>1780</v>
      </c>
      <c r="S32">
        <v>95</v>
      </c>
      <c r="T32">
        <v>1080</v>
      </c>
      <c r="U32">
        <v>0.63014499999999996</v>
      </c>
      <c r="V32">
        <v>4.4558E-2</v>
      </c>
      <c r="W32">
        <v>2.088E-3</v>
      </c>
      <c r="X32">
        <v>3.7450000000000001E-3</v>
      </c>
      <c r="Y32">
        <v>0.68060500000000002</v>
      </c>
      <c r="Z32">
        <v>4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3</v>
      </c>
      <c r="N33">
        <v>3</v>
      </c>
      <c r="O33">
        <v>4274</v>
      </c>
      <c r="P33">
        <v>22</v>
      </c>
      <c r="Q33">
        <v>9</v>
      </c>
      <c r="R33">
        <v>1780</v>
      </c>
      <c r="S33">
        <v>146</v>
      </c>
      <c r="T33">
        <v>1080</v>
      </c>
      <c r="U33">
        <v>0.367761</v>
      </c>
      <c r="V33">
        <v>4.2679000000000002E-2</v>
      </c>
      <c r="W33">
        <v>1.9300000000000001E-3</v>
      </c>
      <c r="X33">
        <v>1.2113000000000001E-2</v>
      </c>
      <c r="Y33">
        <v>0.42455199999999998</v>
      </c>
      <c r="Z33">
        <v>4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3</v>
      </c>
      <c r="N34">
        <v>3</v>
      </c>
      <c r="O34">
        <v>4274</v>
      </c>
      <c r="P34">
        <v>22</v>
      </c>
      <c r="Q34">
        <v>9</v>
      </c>
      <c r="R34">
        <v>1780</v>
      </c>
      <c r="S34">
        <v>106</v>
      </c>
      <c r="T34">
        <v>1080</v>
      </c>
      <c r="U34">
        <v>1.423789</v>
      </c>
      <c r="V34">
        <v>4.3630000000000002E-2</v>
      </c>
      <c r="W34">
        <v>2.0070000000000001E-3</v>
      </c>
      <c r="X34">
        <v>3.8400000000000001E-3</v>
      </c>
      <c r="Y34">
        <v>1.473333</v>
      </c>
      <c r="Z34">
        <v>4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3</v>
      </c>
      <c r="N35">
        <v>3</v>
      </c>
      <c r="O35">
        <v>4270</v>
      </c>
      <c r="P35">
        <v>18</v>
      </c>
      <c r="Q35">
        <v>9</v>
      </c>
      <c r="R35">
        <v>1780</v>
      </c>
      <c r="S35">
        <v>106</v>
      </c>
      <c r="T35">
        <v>1080</v>
      </c>
      <c r="U35">
        <v>0.76568199999999997</v>
      </c>
      <c r="V35">
        <v>4.2881000000000002E-2</v>
      </c>
      <c r="W35">
        <v>2.0089999999999999E-3</v>
      </c>
      <c r="X35">
        <v>6.502E-3</v>
      </c>
      <c r="Y35">
        <v>0.81714699999999996</v>
      </c>
      <c r="Z35">
        <v>4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3</v>
      </c>
      <c r="N36">
        <v>3</v>
      </c>
      <c r="O36">
        <v>4268</v>
      </c>
      <c r="P36">
        <v>16</v>
      </c>
      <c r="Q36">
        <v>9</v>
      </c>
      <c r="R36">
        <v>1780</v>
      </c>
      <c r="S36">
        <v>85</v>
      </c>
      <c r="T36">
        <v>1080</v>
      </c>
      <c r="U36">
        <v>0.82037599999999999</v>
      </c>
      <c r="V36">
        <v>4.2886000000000001E-2</v>
      </c>
      <c r="W36">
        <v>2.0309999999999998E-3</v>
      </c>
      <c r="X36">
        <v>6.1479999999999998E-3</v>
      </c>
      <c r="Y36">
        <v>0.87150799999999995</v>
      </c>
      <c r="Z36">
        <v>4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3</v>
      </c>
      <c r="N37">
        <v>3</v>
      </c>
      <c r="O37">
        <v>4275</v>
      </c>
      <c r="P37">
        <v>23</v>
      </c>
      <c r="Q37">
        <v>9</v>
      </c>
      <c r="R37">
        <v>1780</v>
      </c>
      <c r="S37">
        <v>89</v>
      </c>
      <c r="T37">
        <v>1080</v>
      </c>
      <c r="U37">
        <v>0.26810499999999998</v>
      </c>
      <c r="V37">
        <v>4.2693000000000002E-2</v>
      </c>
      <c r="W37">
        <v>2.0509999999999999E-3</v>
      </c>
      <c r="X37">
        <v>4.3369999999999997E-3</v>
      </c>
      <c r="Y37">
        <v>0.31725500000000001</v>
      </c>
      <c r="Z37">
        <v>4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3</v>
      </c>
      <c r="N38">
        <v>3</v>
      </c>
      <c r="O38">
        <v>4264</v>
      </c>
      <c r="P38">
        <v>12</v>
      </c>
      <c r="Q38">
        <v>9</v>
      </c>
      <c r="R38">
        <v>1780</v>
      </c>
      <c r="S38">
        <v>123</v>
      </c>
      <c r="T38">
        <v>1080</v>
      </c>
      <c r="U38">
        <v>0.56450199999999995</v>
      </c>
      <c r="V38">
        <v>4.2645000000000002E-2</v>
      </c>
      <c r="W38">
        <v>2.1299999999999999E-3</v>
      </c>
      <c r="X38">
        <v>7.2849999999999998E-3</v>
      </c>
      <c r="Y38">
        <v>0.61663100000000004</v>
      </c>
      <c r="Z38">
        <v>4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3</v>
      </c>
      <c r="N39">
        <v>3</v>
      </c>
      <c r="O39">
        <v>4260</v>
      </c>
      <c r="P39">
        <v>8</v>
      </c>
      <c r="Q39">
        <v>9</v>
      </c>
      <c r="R39">
        <v>1780</v>
      </c>
      <c r="S39">
        <v>73</v>
      </c>
      <c r="T39">
        <v>1080</v>
      </c>
      <c r="U39">
        <v>1.3917029999999999</v>
      </c>
      <c r="V39">
        <v>4.2632000000000003E-2</v>
      </c>
      <c r="W39">
        <v>2.0089999999999999E-3</v>
      </c>
      <c r="X39">
        <v>2.1220000000000002E-3</v>
      </c>
      <c r="Y39">
        <v>1.4385410000000001</v>
      </c>
      <c r="Z39">
        <v>4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3</v>
      </c>
      <c r="N40">
        <v>3</v>
      </c>
      <c r="O40">
        <v>4286</v>
      </c>
      <c r="P40">
        <v>34</v>
      </c>
      <c r="Q40">
        <v>9</v>
      </c>
      <c r="R40">
        <v>1780</v>
      </c>
      <c r="S40">
        <v>89</v>
      </c>
      <c r="T40">
        <v>1080</v>
      </c>
      <c r="U40">
        <v>0.94747599999999998</v>
      </c>
      <c r="V40">
        <v>4.2877999999999999E-2</v>
      </c>
      <c r="W40">
        <v>2.0330000000000001E-3</v>
      </c>
      <c r="X40">
        <v>2.777E-3</v>
      </c>
      <c r="Y40">
        <v>0.99523300000000003</v>
      </c>
      <c r="Z40">
        <v>4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3</v>
      </c>
      <c r="N41">
        <v>3</v>
      </c>
      <c r="O41">
        <v>4452</v>
      </c>
      <c r="P41">
        <v>200</v>
      </c>
      <c r="Q41">
        <v>9</v>
      </c>
      <c r="R41">
        <v>1780</v>
      </c>
      <c r="S41">
        <v>148</v>
      </c>
      <c r="T41">
        <v>1080</v>
      </c>
      <c r="U41">
        <v>1.6880440000000001</v>
      </c>
      <c r="V41">
        <v>4.2813999999999998E-2</v>
      </c>
      <c r="W41">
        <v>1.957E-3</v>
      </c>
      <c r="X41">
        <v>5.8120000000000003E-3</v>
      </c>
      <c r="Y41">
        <v>1.7386969999999999</v>
      </c>
      <c r="Z41">
        <v>4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3</v>
      </c>
      <c r="N42">
        <v>3</v>
      </c>
      <c r="O42">
        <v>4266</v>
      </c>
      <c r="P42">
        <v>14</v>
      </c>
      <c r="Q42">
        <v>9</v>
      </c>
      <c r="R42">
        <v>1780</v>
      </c>
      <c r="S42">
        <v>108</v>
      </c>
      <c r="T42">
        <v>1080</v>
      </c>
      <c r="U42">
        <v>0.84811899999999996</v>
      </c>
      <c r="V42">
        <v>4.3776000000000002E-2</v>
      </c>
      <c r="W42">
        <v>2.0040000000000001E-3</v>
      </c>
      <c r="X42">
        <v>7.3769999999999999E-3</v>
      </c>
      <c r="Y42">
        <v>0.90134599999999998</v>
      </c>
      <c r="Z42">
        <v>4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3</v>
      </c>
      <c r="N43">
        <v>3</v>
      </c>
      <c r="O43">
        <v>4265</v>
      </c>
      <c r="P43">
        <v>13</v>
      </c>
      <c r="Q43">
        <v>9</v>
      </c>
      <c r="R43">
        <v>1780</v>
      </c>
      <c r="S43">
        <v>139</v>
      </c>
      <c r="T43">
        <v>1080</v>
      </c>
      <c r="U43">
        <v>0.76204700000000003</v>
      </c>
      <c r="V43">
        <v>4.4340999999999998E-2</v>
      </c>
      <c r="W43">
        <v>2.147E-3</v>
      </c>
      <c r="X43">
        <v>9.2449999999999997E-3</v>
      </c>
      <c r="Y43">
        <v>0.81784900000000005</v>
      </c>
      <c r="Z43">
        <v>4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3</v>
      </c>
      <c r="N44">
        <v>3</v>
      </c>
      <c r="O44">
        <v>4268</v>
      </c>
      <c r="P44">
        <v>16</v>
      </c>
      <c r="Q44">
        <v>9</v>
      </c>
      <c r="R44">
        <v>1780</v>
      </c>
      <c r="S44">
        <v>100</v>
      </c>
      <c r="T44">
        <v>1080</v>
      </c>
      <c r="U44">
        <v>0.60736599999999996</v>
      </c>
      <c r="V44">
        <v>4.4403999999999999E-2</v>
      </c>
      <c r="W44">
        <v>2.0230000000000001E-3</v>
      </c>
      <c r="X44">
        <v>2.9090000000000001E-3</v>
      </c>
      <c r="Y44">
        <v>0.65677399999999997</v>
      </c>
      <c r="Z44">
        <v>4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3</v>
      </c>
      <c r="N45">
        <v>3</v>
      </c>
      <c r="O45">
        <v>4275</v>
      </c>
      <c r="P45">
        <v>23</v>
      </c>
      <c r="Q45">
        <v>9</v>
      </c>
      <c r="R45">
        <v>1780</v>
      </c>
      <c r="S45">
        <v>111</v>
      </c>
      <c r="T45">
        <v>1080</v>
      </c>
      <c r="U45">
        <v>0.69698300000000002</v>
      </c>
      <c r="V45">
        <v>4.4320999999999999E-2</v>
      </c>
      <c r="W45">
        <v>2.032E-3</v>
      </c>
      <c r="X45">
        <v>7.4440000000000001E-3</v>
      </c>
      <c r="Y45">
        <v>0.75085199999999996</v>
      </c>
      <c r="Z45">
        <v>4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3</v>
      </c>
      <c r="N46">
        <v>3</v>
      </c>
      <c r="O46">
        <v>4275</v>
      </c>
      <c r="P46">
        <v>23</v>
      </c>
      <c r="Q46">
        <v>9</v>
      </c>
      <c r="R46">
        <v>1780</v>
      </c>
      <c r="S46">
        <v>100</v>
      </c>
      <c r="T46">
        <v>1080</v>
      </c>
      <c r="U46">
        <v>0.42293700000000001</v>
      </c>
      <c r="V46">
        <v>4.3041000000000003E-2</v>
      </c>
      <c r="W46">
        <v>1.9949999999999998E-3</v>
      </c>
      <c r="X46">
        <v>3.98E-3</v>
      </c>
      <c r="Y46">
        <v>0.47202499999999997</v>
      </c>
      <c r="Z46">
        <v>4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3</v>
      </c>
      <c r="N47">
        <v>3</v>
      </c>
      <c r="O47">
        <v>4268</v>
      </c>
      <c r="P47">
        <v>16</v>
      </c>
      <c r="Q47">
        <v>9</v>
      </c>
      <c r="R47">
        <v>1780</v>
      </c>
      <c r="S47">
        <v>128</v>
      </c>
      <c r="T47">
        <v>1080</v>
      </c>
      <c r="U47">
        <v>0.74940799999999996</v>
      </c>
      <c r="V47">
        <v>4.3825999999999997E-2</v>
      </c>
      <c r="W47">
        <v>2.0539999999999998E-3</v>
      </c>
      <c r="X47">
        <v>3.0270000000000002E-3</v>
      </c>
      <c r="Y47">
        <v>0.79840999999999995</v>
      </c>
      <c r="Z47">
        <v>4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3</v>
      </c>
      <c r="N48">
        <v>3</v>
      </c>
      <c r="O48">
        <v>4288</v>
      </c>
      <c r="P48">
        <v>36</v>
      </c>
      <c r="Q48">
        <v>9</v>
      </c>
      <c r="R48">
        <v>1780</v>
      </c>
      <c r="S48">
        <v>86</v>
      </c>
      <c r="T48">
        <v>1080</v>
      </c>
      <c r="U48">
        <v>0.285186</v>
      </c>
      <c r="V48">
        <v>4.4200000000000003E-2</v>
      </c>
      <c r="W48">
        <v>2.0219999999999999E-3</v>
      </c>
      <c r="X48">
        <v>3.5539999999999999E-3</v>
      </c>
      <c r="Y48">
        <v>0.33504400000000001</v>
      </c>
      <c r="Z48">
        <v>4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3</v>
      </c>
      <c r="N49">
        <v>3</v>
      </c>
      <c r="O49">
        <v>4260</v>
      </c>
      <c r="P49">
        <v>8</v>
      </c>
      <c r="Q49">
        <v>9</v>
      </c>
      <c r="R49">
        <v>1780</v>
      </c>
      <c r="S49">
        <v>123</v>
      </c>
      <c r="T49">
        <v>1080</v>
      </c>
      <c r="U49">
        <v>0.72965800000000003</v>
      </c>
      <c r="V49">
        <v>4.3976000000000001E-2</v>
      </c>
      <c r="W49">
        <v>2.013E-3</v>
      </c>
      <c r="X49">
        <v>7.4139999999999996E-3</v>
      </c>
      <c r="Y49">
        <v>0.78313299999999997</v>
      </c>
      <c r="Z49">
        <v>4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3</v>
      </c>
      <c r="N50">
        <v>3</v>
      </c>
      <c r="O50">
        <v>4283</v>
      </c>
      <c r="P50">
        <v>31</v>
      </c>
      <c r="Q50">
        <v>9</v>
      </c>
      <c r="R50">
        <v>1780</v>
      </c>
      <c r="S50">
        <v>85</v>
      </c>
      <c r="T50">
        <v>1080</v>
      </c>
      <c r="U50">
        <v>0.32393300000000003</v>
      </c>
      <c r="V50">
        <v>4.5247000000000002E-2</v>
      </c>
      <c r="W50">
        <v>1.949E-3</v>
      </c>
      <c r="X50">
        <v>3.3279999999999998E-3</v>
      </c>
      <c r="Y50">
        <v>0.37452600000000003</v>
      </c>
      <c r="Z50">
        <v>4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3</v>
      </c>
      <c r="N51">
        <v>3</v>
      </c>
      <c r="O51">
        <v>4257</v>
      </c>
      <c r="P51">
        <v>5</v>
      </c>
      <c r="Q51">
        <v>9</v>
      </c>
      <c r="R51">
        <v>1780</v>
      </c>
      <c r="S51">
        <v>127</v>
      </c>
      <c r="T51">
        <v>1080</v>
      </c>
      <c r="U51">
        <v>0.70444099999999998</v>
      </c>
      <c r="V51">
        <v>4.2938999999999998E-2</v>
      </c>
      <c r="W51">
        <v>2.075E-3</v>
      </c>
      <c r="X51">
        <v>5.7499999999999999E-3</v>
      </c>
      <c r="Y51">
        <v>0.75527500000000003</v>
      </c>
      <c r="Z51">
        <v>4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3</v>
      </c>
      <c r="N52">
        <v>3</v>
      </c>
      <c r="O52">
        <v>4262</v>
      </c>
      <c r="P52">
        <v>10</v>
      </c>
      <c r="Q52">
        <v>9</v>
      </c>
      <c r="R52">
        <v>1780</v>
      </c>
      <c r="S52">
        <v>103</v>
      </c>
      <c r="T52">
        <v>1080</v>
      </c>
      <c r="U52">
        <v>0.41009099999999998</v>
      </c>
      <c r="V52">
        <v>4.4101000000000001E-2</v>
      </c>
      <c r="W52">
        <v>2.0720000000000001E-3</v>
      </c>
      <c r="X52">
        <v>4.9800000000000001E-3</v>
      </c>
      <c r="Y52">
        <v>0.46132099999999998</v>
      </c>
      <c r="Z52">
        <v>4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3</v>
      </c>
      <c r="N53">
        <v>3</v>
      </c>
      <c r="O53">
        <v>4260</v>
      </c>
      <c r="P53">
        <v>8</v>
      </c>
      <c r="Q53">
        <v>9</v>
      </c>
      <c r="R53">
        <v>1780</v>
      </c>
      <c r="S53">
        <v>103</v>
      </c>
      <c r="T53">
        <v>1080</v>
      </c>
      <c r="U53">
        <v>0.51713500000000001</v>
      </c>
      <c r="V53">
        <v>4.3719000000000001E-2</v>
      </c>
      <c r="W53">
        <v>2.026E-3</v>
      </c>
      <c r="X53">
        <v>4.705E-3</v>
      </c>
      <c r="Y53">
        <v>0.56765500000000002</v>
      </c>
      <c r="Z53">
        <v>4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3</v>
      </c>
      <c r="N54">
        <v>3</v>
      </c>
      <c r="O54">
        <v>4258</v>
      </c>
      <c r="P54">
        <v>6</v>
      </c>
      <c r="Q54">
        <v>9</v>
      </c>
      <c r="R54">
        <v>1780</v>
      </c>
      <c r="S54">
        <v>96</v>
      </c>
      <c r="T54">
        <v>1080</v>
      </c>
      <c r="U54">
        <v>1.4321090000000001</v>
      </c>
      <c r="V54">
        <v>4.4240000000000002E-2</v>
      </c>
      <c r="W54">
        <v>1.9970000000000001E-3</v>
      </c>
      <c r="X54">
        <v>3.6180000000000001E-3</v>
      </c>
      <c r="Y54">
        <v>1.482043</v>
      </c>
      <c r="Z54">
        <v>4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3</v>
      </c>
      <c r="N55">
        <v>3</v>
      </c>
      <c r="O55">
        <v>4278</v>
      </c>
      <c r="P55">
        <v>26</v>
      </c>
      <c r="Q55">
        <v>9</v>
      </c>
      <c r="R55">
        <v>1780</v>
      </c>
      <c r="S55">
        <v>138</v>
      </c>
      <c r="T55">
        <v>1080</v>
      </c>
      <c r="U55">
        <v>0.28782799999999997</v>
      </c>
      <c r="V55">
        <v>4.2932999999999999E-2</v>
      </c>
      <c r="W55">
        <v>2.0669999999999998E-3</v>
      </c>
      <c r="X55">
        <v>4.7000000000000002E-3</v>
      </c>
      <c r="Y55">
        <v>0.33760099999999998</v>
      </c>
      <c r="Z55">
        <v>4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3</v>
      </c>
      <c r="N56">
        <v>3</v>
      </c>
      <c r="O56">
        <v>4272</v>
      </c>
      <c r="P56">
        <v>20</v>
      </c>
      <c r="Q56">
        <v>9</v>
      </c>
      <c r="R56">
        <v>1780</v>
      </c>
      <c r="S56">
        <v>68</v>
      </c>
      <c r="T56">
        <v>1080</v>
      </c>
      <c r="U56">
        <v>0.31289800000000001</v>
      </c>
      <c r="V56">
        <v>4.2403000000000003E-2</v>
      </c>
      <c r="W56">
        <v>2.0709999999999999E-3</v>
      </c>
      <c r="X56">
        <v>1.9120000000000001E-3</v>
      </c>
      <c r="Y56">
        <v>0.359352</v>
      </c>
      <c r="Z56">
        <v>4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3</v>
      </c>
      <c r="N57">
        <v>3</v>
      </c>
      <c r="O57">
        <v>4268</v>
      </c>
      <c r="P57">
        <v>16</v>
      </c>
      <c r="Q57">
        <v>9</v>
      </c>
      <c r="R57">
        <v>1780</v>
      </c>
      <c r="S57">
        <v>89</v>
      </c>
      <c r="T57">
        <v>1080</v>
      </c>
      <c r="U57">
        <v>0.50162200000000001</v>
      </c>
      <c r="V57">
        <v>4.2641999999999999E-2</v>
      </c>
      <c r="W57">
        <v>1.9220000000000001E-3</v>
      </c>
      <c r="X57">
        <v>3.264E-3</v>
      </c>
      <c r="Y57">
        <v>0.54951899999999998</v>
      </c>
      <c r="Z57">
        <v>4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3</v>
      </c>
      <c r="N58">
        <v>3</v>
      </c>
      <c r="O58">
        <v>4322</v>
      </c>
      <c r="P58">
        <v>70</v>
      </c>
      <c r="Q58">
        <v>9</v>
      </c>
      <c r="R58">
        <v>1780</v>
      </c>
      <c r="S58">
        <v>97</v>
      </c>
      <c r="T58">
        <v>1080</v>
      </c>
      <c r="U58">
        <v>0.17737700000000001</v>
      </c>
      <c r="V58">
        <v>4.2779999999999999E-2</v>
      </c>
      <c r="W58">
        <v>2.0270000000000002E-3</v>
      </c>
      <c r="X58">
        <v>5.5110000000000003E-3</v>
      </c>
      <c r="Y58">
        <v>0.22776399999999999</v>
      </c>
      <c r="Z58">
        <v>4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3</v>
      </c>
      <c r="N59">
        <v>3</v>
      </c>
      <c r="O59">
        <v>4256</v>
      </c>
      <c r="P59">
        <v>4</v>
      </c>
      <c r="Q59">
        <v>9</v>
      </c>
      <c r="R59">
        <v>1780</v>
      </c>
      <c r="S59">
        <v>86</v>
      </c>
      <c r="T59">
        <v>1080</v>
      </c>
      <c r="U59">
        <v>0.67502600000000001</v>
      </c>
      <c r="V59">
        <v>4.2724999999999999E-2</v>
      </c>
      <c r="W59">
        <v>2.0049999999999998E-3</v>
      </c>
      <c r="X59">
        <v>4.6899999999999997E-3</v>
      </c>
      <c r="Y59">
        <v>0.72453699999999999</v>
      </c>
      <c r="Z59">
        <v>4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1616</v>
      </c>
      <c r="I60">
        <v>38.01</v>
      </c>
      <c r="J60" t="s">
        <v>31</v>
      </c>
      <c r="K60">
        <v>600</v>
      </c>
      <c r="L60" t="s">
        <v>32</v>
      </c>
      <c r="M60">
        <v>3</v>
      </c>
      <c r="N60">
        <v>3</v>
      </c>
      <c r="O60">
        <v>4262</v>
      </c>
      <c r="P60">
        <v>10</v>
      </c>
      <c r="Q60">
        <v>9</v>
      </c>
      <c r="R60">
        <v>1780</v>
      </c>
      <c r="S60">
        <v>116</v>
      </c>
      <c r="T60">
        <v>1080</v>
      </c>
      <c r="U60">
        <v>1.4166350000000001</v>
      </c>
      <c r="V60">
        <v>4.3119999999999999E-2</v>
      </c>
      <c r="W60">
        <v>2.029E-3</v>
      </c>
      <c r="X60">
        <v>2.545E-3</v>
      </c>
      <c r="Y60">
        <v>1.464396</v>
      </c>
      <c r="Z60">
        <v>4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1616</v>
      </c>
      <c r="I61">
        <v>38.01</v>
      </c>
      <c r="J61" t="s">
        <v>31</v>
      </c>
      <c r="K61">
        <v>600</v>
      </c>
      <c r="L61" t="s">
        <v>32</v>
      </c>
      <c r="M61">
        <v>3</v>
      </c>
      <c r="N61">
        <v>3</v>
      </c>
      <c r="O61">
        <v>4278</v>
      </c>
      <c r="P61">
        <v>26</v>
      </c>
      <c r="Q61">
        <v>9</v>
      </c>
      <c r="R61">
        <v>1780</v>
      </c>
      <c r="S61">
        <v>72</v>
      </c>
      <c r="T61">
        <v>1080</v>
      </c>
      <c r="U61">
        <v>0.38975900000000002</v>
      </c>
      <c r="V61">
        <v>4.2729000000000003E-2</v>
      </c>
      <c r="W61">
        <v>1.9849999999999998E-3</v>
      </c>
      <c r="X61">
        <v>1.8450000000000001E-3</v>
      </c>
      <c r="Y61">
        <v>0.436386</v>
      </c>
      <c r="Z61">
        <v>4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1616</v>
      </c>
      <c r="I62">
        <v>38.01</v>
      </c>
      <c r="J62" t="s">
        <v>31</v>
      </c>
      <c r="K62">
        <v>600</v>
      </c>
      <c r="L62" t="s">
        <v>32</v>
      </c>
      <c r="M62">
        <v>3</v>
      </c>
      <c r="N62">
        <v>3</v>
      </c>
      <c r="O62">
        <v>4276</v>
      </c>
      <c r="P62">
        <v>24</v>
      </c>
      <c r="Q62">
        <v>9</v>
      </c>
      <c r="R62">
        <v>1780</v>
      </c>
      <c r="S62">
        <v>110</v>
      </c>
      <c r="T62">
        <v>1080</v>
      </c>
      <c r="U62">
        <v>1.192817</v>
      </c>
      <c r="V62">
        <v>4.3866000000000002E-2</v>
      </c>
      <c r="W62">
        <v>1.905E-3</v>
      </c>
      <c r="X62">
        <v>4.8339999999999998E-3</v>
      </c>
      <c r="Y62">
        <v>1.2434940000000001</v>
      </c>
      <c r="Z62">
        <v>4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1616</v>
      </c>
      <c r="I63">
        <v>38.01</v>
      </c>
      <c r="J63" t="s">
        <v>31</v>
      </c>
      <c r="K63">
        <v>600</v>
      </c>
      <c r="L63" t="s">
        <v>32</v>
      </c>
      <c r="M63">
        <v>3</v>
      </c>
      <c r="N63">
        <v>3</v>
      </c>
      <c r="O63">
        <v>4313</v>
      </c>
      <c r="P63">
        <v>61</v>
      </c>
      <c r="Q63">
        <v>9</v>
      </c>
      <c r="R63">
        <v>1780</v>
      </c>
      <c r="S63">
        <v>87</v>
      </c>
      <c r="T63">
        <v>1080</v>
      </c>
      <c r="U63">
        <v>0.38137599999999999</v>
      </c>
      <c r="V63">
        <v>4.6224000000000001E-2</v>
      </c>
      <c r="W63">
        <v>1.9849999999999998E-3</v>
      </c>
      <c r="X63">
        <v>1.475E-3</v>
      </c>
      <c r="Y63">
        <v>0.43114200000000003</v>
      </c>
      <c r="Z63">
        <v>4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1616</v>
      </c>
      <c r="I64">
        <v>38.01</v>
      </c>
      <c r="J64" t="s">
        <v>31</v>
      </c>
      <c r="K64">
        <v>600</v>
      </c>
      <c r="L64" t="s">
        <v>32</v>
      </c>
      <c r="M64">
        <v>3</v>
      </c>
      <c r="N64">
        <v>3</v>
      </c>
      <c r="O64">
        <v>4272</v>
      </c>
      <c r="P64">
        <v>20</v>
      </c>
      <c r="Q64">
        <v>9</v>
      </c>
      <c r="R64">
        <v>1780</v>
      </c>
      <c r="S64">
        <v>90</v>
      </c>
      <c r="T64">
        <v>1080</v>
      </c>
      <c r="U64">
        <v>0.66509399999999996</v>
      </c>
      <c r="V64">
        <v>4.4239000000000001E-2</v>
      </c>
      <c r="W64">
        <v>2.7799999999999999E-3</v>
      </c>
      <c r="X64">
        <v>3.0709999999999999E-3</v>
      </c>
      <c r="Y64">
        <v>0.71526699999999999</v>
      </c>
      <c r="Z64">
        <v>4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1616</v>
      </c>
      <c r="I65">
        <v>38.01</v>
      </c>
      <c r="J65" t="s">
        <v>31</v>
      </c>
      <c r="K65">
        <v>600</v>
      </c>
      <c r="L65" t="s">
        <v>32</v>
      </c>
      <c r="M65">
        <v>3</v>
      </c>
      <c r="N65">
        <v>3</v>
      </c>
      <c r="O65">
        <v>4280</v>
      </c>
      <c r="P65">
        <v>28</v>
      </c>
      <c r="Q65">
        <v>9</v>
      </c>
      <c r="R65">
        <v>1780</v>
      </c>
      <c r="S65">
        <v>107</v>
      </c>
      <c r="T65">
        <v>1080</v>
      </c>
      <c r="U65">
        <v>0.73482400000000003</v>
      </c>
      <c r="V65">
        <v>4.2382999999999997E-2</v>
      </c>
      <c r="W65">
        <v>1.9889999999999999E-3</v>
      </c>
      <c r="X65">
        <v>3.0959999999999998E-3</v>
      </c>
      <c r="Y65">
        <v>0.78236300000000003</v>
      </c>
      <c r="Z65">
        <v>4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1616</v>
      </c>
      <c r="I66">
        <v>38.01</v>
      </c>
      <c r="J66" t="s">
        <v>31</v>
      </c>
      <c r="K66">
        <v>600</v>
      </c>
      <c r="L66" t="s">
        <v>32</v>
      </c>
      <c r="M66">
        <v>3</v>
      </c>
      <c r="N66">
        <v>3</v>
      </c>
      <c r="O66">
        <v>4280</v>
      </c>
      <c r="P66">
        <v>28</v>
      </c>
      <c r="Q66">
        <v>9</v>
      </c>
      <c r="R66">
        <v>1780</v>
      </c>
      <c r="S66">
        <v>75</v>
      </c>
      <c r="T66">
        <v>1080</v>
      </c>
      <c r="U66">
        <v>0.79374699999999998</v>
      </c>
      <c r="V66">
        <v>4.3250999999999998E-2</v>
      </c>
      <c r="W66">
        <v>1.8860000000000001E-3</v>
      </c>
      <c r="X66">
        <v>1.508E-3</v>
      </c>
      <c r="Y66">
        <v>0.84046200000000004</v>
      </c>
      <c r="Z66">
        <v>4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1616</v>
      </c>
      <c r="I67">
        <v>38.01</v>
      </c>
      <c r="J67" t="s">
        <v>31</v>
      </c>
      <c r="K67">
        <v>600</v>
      </c>
      <c r="L67" t="s">
        <v>32</v>
      </c>
      <c r="M67">
        <v>3</v>
      </c>
      <c r="N67">
        <v>3</v>
      </c>
      <c r="O67">
        <v>4264</v>
      </c>
      <c r="P67">
        <v>12</v>
      </c>
      <c r="Q67">
        <v>9</v>
      </c>
      <c r="R67">
        <v>1780</v>
      </c>
      <c r="S67">
        <v>134</v>
      </c>
      <c r="T67">
        <v>1080</v>
      </c>
      <c r="U67">
        <v>0.72355000000000003</v>
      </c>
      <c r="V67">
        <v>4.2564999999999999E-2</v>
      </c>
      <c r="W67">
        <v>1.885E-3</v>
      </c>
      <c r="X67">
        <v>5.058E-3</v>
      </c>
      <c r="Y67">
        <v>0.77315</v>
      </c>
      <c r="Z67">
        <v>4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1616</v>
      </c>
      <c r="I68">
        <v>38.01</v>
      </c>
      <c r="J68" t="s">
        <v>31</v>
      </c>
      <c r="K68">
        <v>600</v>
      </c>
      <c r="L68" t="s">
        <v>32</v>
      </c>
      <c r="M68">
        <v>3</v>
      </c>
      <c r="N68">
        <v>3</v>
      </c>
      <c r="O68">
        <v>4295</v>
      </c>
      <c r="P68">
        <v>43</v>
      </c>
      <c r="Q68">
        <v>9</v>
      </c>
      <c r="R68">
        <v>1780</v>
      </c>
      <c r="S68">
        <v>133</v>
      </c>
      <c r="T68">
        <v>1080</v>
      </c>
      <c r="U68">
        <v>0.39252100000000001</v>
      </c>
      <c r="V68">
        <v>4.3975E-2</v>
      </c>
      <c r="W68">
        <v>1.9289999999999999E-3</v>
      </c>
      <c r="X68">
        <v>4.705E-3</v>
      </c>
      <c r="Y68">
        <v>0.44319799999999998</v>
      </c>
      <c r="Z68">
        <v>4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1616</v>
      </c>
      <c r="I69">
        <v>38.01</v>
      </c>
      <c r="J69" t="s">
        <v>31</v>
      </c>
      <c r="K69">
        <v>600</v>
      </c>
      <c r="L69" t="s">
        <v>32</v>
      </c>
      <c r="M69">
        <v>3</v>
      </c>
      <c r="N69">
        <v>3</v>
      </c>
      <c r="O69">
        <v>4282</v>
      </c>
      <c r="P69">
        <v>30</v>
      </c>
      <c r="Q69">
        <v>9</v>
      </c>
      <c r="R69">
        <v>1780</v>
      </c>
      <c r="S69">
        <v>136</v>
      </c>
      <c r="T69">
        <v>1080</v>
      </c>
      <c r="U69">
        <v>0.20064799999999999</v>
      </c>
      <c r="V69">
        <v>4.2207000000000001E-2</v>
      </c>
      <c r="W69">
        <v>1.9109999999999999E-3</v>
      </c>
      <c r="X69">
        <v>9.7140000000000004E-3</v>
      </c>
      <c r="Y69">
        <v>0.25454599999999999</v>
      </c>
      <c r="Z69">
        <v>4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1616</v>
      </c>
      <c r="I70">
        <v>38.01</v>
      </c>
      <c r="J70" t="s">
        <v>31</v>
      </c>
      <c r="K70">
        <v>600</v>
      </c>
      <c r="L70" t="s">
        <v>32</v>
      </c>
      <c r="M70">
        <v>3</v>
      </c>
      <c r="N70">
        <v>3</v>
      </c>
      <c r="O70">
        <v>4269</v>
      </c>
      <c r="P70">
        <v>17</v>
      </c>
      <c r="Q70">
        <v>9</v>
      </c>
      <c r="R70">
        <v>1780</v>
      </c>
      <c r="S70">
        <v>145</v>
      </c>
      <c r="T70">
        <v>1080</v>
      </c>
      <c r="U70">
        <v>0.16463</v>
      </c>
      <c r="V70">
        <v>4.3666000000000003E-2</v>
      </c>
      <c r="W70">
        <v>1.903E-3</v>
      </c>
      <c r="X70">
        <v>1.2189E-2</v>
      </c>
      <c r="Y70">
        <v>0.22245599999999999</v>
      </c>
      <c r="Z70">
        <v>4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1616</v>
      </c>
      <c r="I71">
        <v>38.01</v>
      </c>
      <c r="J71" t="s">
        <v>31</v>
      </c>
      <c r="K71">
        <v>600</v>
      </c>
      <c r="L71" t="s">
        <v>32</v>
      </c>
      <c r="M71">
        <v>3</v>
      </c>
      <c r="N71">
        <v>3</v>
      </c>
      <c r="O71">
        <v>4271</v>
      </c>
      <c r="P71">
        <v>19</v>
      </c>
      <c r="Q71">
        <v>9</v>
      </c>
      <c r="R71">
        <v>1780</v>
      </c>
      <c r="S71">
        <v>110</v>
      </c>
      <c r="T71">
        <v>1080</v>
      </c>
      <c r="U71">
        <v>0.24566199999999999</v>
      </c>
      <c r="V71">
        <v>4.3124000000000003E-2</v>
      </c>
      <c r="W71">
        <v>1.9220000000000001E-3</v>
      </c>
      <c r="X71">
        <v>5.0460000000000001E-3</v>
      </c>
      <c r="Y71">
        <v>0.295825</v>
      </c>
      <c r="Z71">
        <v>4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1616</v>
      </c>
      <c r="I72">
        <v>38.01</v>
      </c>
      <c r="J72" t="s">
        <v>31</v>
      </c>
      <c r="K72">
        <v>600</v>
      </c>
      <c r="L72" t="s">
        <v>32</v>
      </c>
      <c r="M72">
        <v>3</v>
      </c>
      <c r="N72">
        <v>3</v>
      </c>
      <c r="O72">
        <v>4270</v>
      </c>
      <c r="P72">
        <v>18</v>
      </c>
      <c r="Q72">
        <v>9</v>
      </c>
      <c r="R72">
        <v>1780</v>
      </c>
      <c r="S72">
        <v>105</v>
      </c>
      <c r="T72">
        <v>1080</v>
      </c>
      <c r="U72">
        <v>1.1309480000000001</v>
      </c>
      <c r="V72">
        <v>4.3797000000000003E-2</v>
      </c>
      <c r="W72">
        <v>1.913E-3</v>
      </c>
      <c r="X72">
        <v>3.274E-3</v>
      </c>
      <c r="Y72">
        <v>1.1800010000000001</v>
      </c>
      <c r="Z72">
        <v>4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1616</v>
      </c>
      <c r="I73">
        <v>38.01</v>
      </c>
      <c r="J73" t="s">
        <v>31</v>
      </c>
      <c r="K73">
        <v>600</v>
      </c>
      <c r="L73" t="s">
        <v>32</v>
      </c>
      <c r="M73">
        <v>3</v>
      </c>
      <c r="N73">
        <v>3</v>
      </c>
      <c r="O73">
        <v>4254</v>
      </c>
      <c r="P73">
        <v>2</v>
      </c>
      <c r="Q73">
        <v>9</v>
      </c>
      <c r="R73">
        <v>1780</v>
      </c>
      <c r="S73">
        <v>126</v>
      </c>
      <c r="T73">
        <v>1080</v>
      </c>
      <c r="U73">
        <v>0.380353</v>
      </c>
      <c r="V73">
        <v>4.4805999999999999E-2</v>
      </c>
      <c r="W73">
        <v>2.0709999999999999E-3</v>
      </c>
      <c r="X73">
        <v>3.081E-3</v>
      </c>
      <c r="Y73">
        <v>0.43038500000000002</v>
      </c>
      <c r="Z73">
        <v>5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1616</v>
      </c>
      <c r="I74">
        <v>38.01</v>
      </c>
      <c r="J74" t="s">
        <v>31</v>
      </c>
      <c r="K74">
        <v>600</v>
      </c>
      <c r="L74" t="s">
        <v>32</v>
      </c>
      <c r="M74">
        <v>3</v>
      </c>
      <c r="N74">
        <v>3</v>
      </c>
      <c r="O74">
        <v>4260</v>
      </c>
      <c r="P74">
        <v>8</v>
      </c>
      <c r="Q74">
        <v>9</v>
      </c>
      <c r="R74">
        <v>1780</v>
      </c>
      <c r="S74">
        <v>102</v>
      </c>
      <c r="T74">
        <v>1080</v>
      </c>
      <c r="U74">
        <v>0.35622999999999999</v>
      </c>
      <c r="V74">
        <v>4.4727000000000003E-2</v>
      </c>
      <c r="W74">
        <v>2.0330000000000001E-3</v>
      </c>
      <c r="X74">
        <v>5.666E-3</v>
      </c>
      <c r="Y74">
        <v>0.40872999999999998</v>
      </c>
      <c r="Z74">
        <v>5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1616</v>
      </c>
      <c r="I75">
        <v>38.01</v>
      </c>
      <c r="J75" t="s">
        <v>31</v>
      </c>
      <c r="K75">
        <v>600</v>
      </c>
      <c r="L75" t="s">
        <v>32</v>
      </c>
      <c r="M75">
        <v>3</v>
      </c>
      <c r="N75">
        <v>3</v>
      </c>
      <c r="O75">
        <v>4317</v>
      </c>
      <c r="P75">
        <v>65</v>
      </c>
      <c r="Q75">
        <v>9</v>
      </c>
      <c r="R75">
        <v>1780</v>
      </c>
      <c r="S75">
        <v>132</v>
      </c>
      <c r="T75">
        <v>1080</v>
      </c>
      <c r="U75">
        <v>0.47074899999999997</v>
      </c>
      <c r="V75">
        <v>4.3952999999999999E-2</v>
      </c>
      <c r="W75">
        <v>1.9659999999999999E-3</v>
      </c>
      <c r="X75">
        <v>3.1340000000000001E-3</v>
      </c>
      <c r="Y75">
        <v>0.51987399999999995</v>
      </c>
      <c r="Z75">
        <v>5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1616</v>
      </c>
      <c r="I76">
        <v>38.01</v>
      </c>
      <c r="J76" t="s">
        <v>31</v>
      </c>
      <c r="K76">
        <v>600</v>
      </c>
      <c r="L76" t="s">
        <v>32</v>
      </c>
      <c r="M76">
        <v>3</v>
      </c>
      <c r="N76">
        <v>3</v>
      </c>
      <c r="O76">
        <v>4268</v>
      </c>
      <c r="P76">
        <v>16</v>
      </c>
      <c r="Q76">
        <v>9</v>
      </c>
      <c r="R76">
        <v>1780</v>
      </c>
      <c r="S76">
        <v>108</v>
      </c>
      <c r="T76">
        <v>1080</v>
      </c>
      <c r="U76">
        <v>1.0167630000000001</v>
      </c>
      <c r="V76">
        <v>4.4580000000000002E-2</v>
      </c>
      <c r="W76">
        <v>2.0140000000000002E-3</v>
      </c>
      <c r="X76">
        <v>7.5669999999999999E-3</v>
      </c>
      <c r="Y76">
        <v>1.070997</v>
      </c>
      <c r="Z76">
        <v>5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1616</v>
      </c>
      <c r="I77">
        <v>38.01</v>
      </c>
      <c r="J77" t="s">
        <v>31</v>
      </c>
      <c r="K77">
        <v>600</v>
      </c>
      <c r="L77" t="s">
        <v>32</v>
      </c>
      <c r="M77">
        <v>3</v>
      </c>
      <c r="N77">
        <v>3</v>
      </c>
      <c r="O77">
        <v>4272</v>
      </c>
      <c r="P77">
        <v>20</v>
      </c>
      <c r="Q77">
        <v>9</v>
      </c>
      <c r="R77">
        <v>1780</v>
      </c>
      <c r="S77">
        <v>102</v>
      </c>
      <c r="T77">
        <v>1080</v>
      </c>
      <c r="U77">
        <v>0.59751799999999999</v>
      </c>
      <c r="V77">
        <v>4.2838000000000001E-2</v>
      </c>
      <c r="W77">
        <v>2.0409999999999998E-3</v>
      </c>
      <c r="X77">
        <v>4.8570000000000002E-3</v>
      </c>
      <c r="Y77">
        <v>0.64732400000000001</v>
      </c>
      <c r="Z77">
        <v>5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1616</v>
      </c>
      <c r="I78">
        <v>38.01</v>
      </c>
      <c r="J78" t="s">
        <v>31</v>
      </c>
      <c r="K78">
        <v>600</v>
      </c>
      <c r="L78" t="s">
        <v>32</v>
      </c>
      <c r="M78">
        <v>3</v>
      </c>
      <c r="N78">
        <v>3</v>
      </c>
      <c r="O78">
        <v>4271</v>
      </c>
      <c r="P78">
        <v>19</v>
      </c>
      <c r="Q78">
        <v>9</v>
      </c>
      <c r="R78">
        <v>1780</v>
      </c>
      <c r="S78">
        <v>145</v>
      </c>
      <c r="T78">
        <v>1080</v>
      </c>
      <c r="U78">
        <v>0.30130600000000002</v>
      </c>
      <c r="V78">
        <v>4.2984000000000001E-2</v>
      </c>
      <c r="W78">
        <v>2.0439999999999998E-3</v>
      </c>
      <c r="X78">
        <v>5.5669999999999999E-3</v>
      </c>
      <c r="Y78">
        <v>0.35197699999999998</v>
      </c>
      <c r="Z78">
        <v>5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1616</v>
      </c>
      <c r="I79">
        <v>38.01</v>
      </c>
      <c r="J79" t="s">
        <v>31</v>
      </c>
      <c r="K79">
        <v>600</v>
      </c>
      <c r="L79" t="s">
        <v>32</v>
      </c>
      <c r="M79">
        <v>3</v>
      </c>
      <c r="N79">
        <v>3</v>
      </c>
      <c r="O79">
        <v>4270</v>
      </c>
      <c r="P79">
        <v>18</v>
      </c>
      <c r="Q79">
        <v>9</v>
      </c>
      <c r="R79">
        <v>1780</v>
      </c>
      <c r="S79">
        <v>117</v>
      </c>
      <c r="T79">
        <v>1080</v>
      </c>
      <c r="U79">
        <v>1.002515</v>
      </c>
      <c r="V79">
        <v>4.3288E-2</v>
      </c>
      <c r="W79">
        <v>2.0040000000000001E-3</v>
      </c>
      <c r="X79">
        <v>3.0739999999999999E-3</v>
      </c>
      <c r="Y79">
        <v>1.0509520000000001</v>
      </c>
      <c r="Z79">
        <v>5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1616</v>
      </c>
      <c r="I80">
        <v>38.01</v>
      </c>
      <c r="J80" t="s">
        <v>31</v>
      </c>
      <c r="K80">
        <v>600</v>
      </c>
      <c r="L80" t="s">
        <v>32</v>
      </c>
      <c r="M80">
        <v>3</v>
      </c>
      <c r="N80">
        <v>3</v>
      </c>
      <c r="O80">
        <v>4315</v>
      </c>
      <c r="P80">
        <v>63</v>
      </c>
      <c r="Q80">
        <v>9</v>
      </c>
      <c r="R80">
        <v>1780</v>
      </c>
      <c r="S80">
        <v>109</v>
      </c>
      <c r="T80">
        <v>1080</v>
      </c>
      <c r="U80">
        <v>0.331756</v>
      </c>
      <c r="V80">
        <v>4.3497000000000001E-2</v>
      </c>
      <c r="W80">
        <v>2.0769999999999999E-3</v>
      </c>
      <c r="X80">
        <v>5.1669999999999997E-3</v>
      </c>
      <c r="Y80">
        <v>0.38257000000000002</v>
      </c>
      <c r="Z80">
        <v>5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1616</v>
      </c>
      <c r="I81">
        <v>38.01</v>
      </c>
      <c r="J81" t="s">
        <v>31</v>
      </c>
      <c r="K81">
        <v>600</v>
      </c>
      <c r="L81" t="s">
        <v>32</v>
      </c>
      <c r="M81">
        <v>3</v>
      </c>
      <c r="N81">
        <v>3</v>
      </c>
      <c r="O81">
        <v>4252</v>
      </c>
      <c r="P81">
        <v>0</v>
      </c>
      <c r="Q81">
        <v>9</v>
      </c>
      <c r="R81">
        <v>1780</v>
      </c>
      <c r="S81">
        <v>133</v>
      </c>
      <c r="T81">
        <v>1080</v>
      </c>
      <c r="U81">
        <v>0.51895999999999998</v>
      </c>
      <c r="V81">
        <v>4.3890999999999999E-2</v>
      </c>
      <c r="W81">
        <v>1.993E-3</v>
      </c>
      <c r="X81">
        <v>7.0320000000000001E-3</v>
      </c>
      <c r="Y81">
        <v>0.57194299999999998</v>
      </c>
      <c r="Z81">
        <v>5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1616</v>
      </c>
      <c r="I82">
        <v>38.01</v>
      </c>
      <c r="J82" t="s">
        <v>31</v>
      </c>
      <c r="K82">
        <v>600</v>
      </c>
      <c r="L82" t="s">
        <v>32</v>
      </c>
      <c r="M82">
        <v>3</v>
      </c>
      <c r="N82">
        <v>3</v>
      </c>
      <c r="O82">
        <v>4300</v>
      </c>
      <c r="P82">
        <v>48</v>
      </c>
      <c r="Q82">
        <v>9</v>
      </c>
      <c r="R82">
        <v>1780</v>
      </c>
      <c r="S82">
        <v>84</v>
      </c>
      <c r="T82">
        <v>1080</v>
      </c>
      <c r="U82">
        <v>0.43633899999999998</v>
      </c>
      <c r="V82">
        <v>4.2783000000000002E-2</v>
      </c>
      <c r="W82">
        <v>2.0140000000000002E-3</v>
      </c>
      <c r="X82">
        <v>5.2900000000000004E-3</v>
      </c>
      <c r="Y82">
        <v>0.48650100000000002</v>
      </c>
      <c r="Z82">
        <v>5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1616</v>
      </c>
      <c r="I83">
        <v>38.01</v>
      </c>
      <c r="J83" t="s">
        <v>31</v>
      </c>
      <c r="K83">
        <v>600</v>
      </c>
      <c r="L83" t="s">
        <v>32</v>
      </c>
      <c r="M83">
        <v>3</v>
      </c>
      <c r="N83">
        <v>3</v>
      </c>
      <c r="O83">
        <v>4270</v>
      </c>
      <c r="P83">
        <v>18</v>
      </c>
      <c r="Q83">
        <v>9</v>
      </c>
      <c r="R83">
        <v>1780</v>
      </c>
      <c r="S83">
        <v>95</v>
      </c>
      <c r="T83">
        <v>1080</v>
      </c>
      <c r="U83">
        <v>1.8334440000000001</v>
      </c>
      <c r="V83">
        <v>4.2813999999999998E-2</v>
      </c>
      <c r="W83">
        <v>2.0149999999999999E-3</v>
      </c>
      <c r="X83">
        <v>7.1659999999999996E-3</v>
      </c>
      <c r="Y83">
        <v>1.8855580000000001</v>
      </c>
      <c r="Z83">
        <v>5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1616</v>
      </c>
      <c r="I84">
        <v>38.01</v>
      </c>
      <c r="J84" t="s">
        <v>31</v>
      </c>
      <c r="K84">
        <v>600</v>
      </c>
      <c r="L84" t="s">
        <v>32</v>
      </c>
      <c r="M84">
        <v>3</v>
      </c>
      <c r="N84">
        <v>3</v>
      </c>
      <c r="O84">
        <v>4266</v>
      </c>
      <c r="P84">
        <v>14</v>
      </c>
      <c r="Q84">
        <v>9</v>
      </c>
      <c r="R84">
        <v>1780</v>
      </c>
      <c r="S84">
        <v>130</v>
      </c>
      <c r="T84">
        <v>1080</v>
      </c>
      <c r="U84">
        <v>0.59069499999999997</v>
      </c>
      <c r="V84">
        <v>4.2804000000000002E-2</v>
      </c>
      <c r="W84">
        <v>1.9629999999999999E-3</v>
      </c>
      <c r="X84">
        <v>3.0590000000000001E-3</v>
      </c>
      <c r="Y84">
        <v>0.63859600000000005</v>
      </c>
      <c r="Z84">
        <v>5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1616</v>
      </c>
      <c r="I85">
        <v>38.01</v>
      </c>
      <c r="J85" t="s">
        <v>31</v>
      </c>
      <c r="K85">
        <v>600</v>
      </c>
      <c r="L85" t="s">
        <v>32</v>
      </c>
      <c r="M85">
        <v>3</v>
      </c>
      <c r="N85">
        <v>3</v>
      </c>
      <c r="O85">
        <v>4256</v>
      </c>
      <c r="P85">
        <v>4</v>
      </c>
      <c r="Q85">
        <v>9</v>
      </c>
      <c r="R85">
        <v>1780</v>
      </c>
      <c r="S85">
        <v>94</v>
      </c>
      <c r="T85">
        <v>1080</v>
      </c>
      <c r="U85">
        <v>0.78506200000000004</v>
      </c>
      <c r="V85">
        <v>4.2844E-2</v>
      </c>
      <c r="W85">
        <v>2.0240000000000002E-3</v>
      </c>
      <c r="X85">
        <v>2.5249999999999999E-3</v>
      </c>
      <c r="Y85">
        <v>0.83252700000000002</v>
      </c>
      <c r="Z85">
        <v>5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1616</v>
      </c>
      <c r="I86">
        <v>38.01</v>
      </c>
      <c r="J86" t="s">
        <v>31</v>
      </c>
      <c r="K86">
        <v>600</v>
      </c>
      <c r="L86" t="s">
        <v>32</v>
      </c>
      <c r="M86">
        <v>3</v>
      </c>
      <c r="N86">
        <v>3</v>
      </c>
      <c r="O86">
        <v>4262</v>
      </c>
      <c r="P86">
        <v>10</v>
      </c>
      <c r="Q86">
        <v>9</v>
      </c>
      <c r="R86">
        <v>1780</v>
      </c>
      <c r="S86">
        <v>117</v>
      </c>
      <c r="T86">
        <v>1080</v>
      </c>
      <c r="U86">
        <v>0.77377499999999999</v>
      </c>
      <c r="V86">
        <v>4.4371000000000001E-2</v>
      </c>
      <c r="W86">
        <v>1.993E-3</v>
      </c>
      <c r="X86">
        <v>1.0184E-2</v>
      </c>
      <c r="Y86">
        <v>0.83040400000000003</v>
      </c>
      <c r="Z86">
        <v>5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1616</v>
      </c>
      <c r="I87">
        <v>38.01</v>
      </c>
      <c r="J87" t="s">
        <v>31</v>
      </c>
      <c r="K87">
        <v>600</v>
      </c>
      <c r="L87" t="s">
        <v>32</v>
      </c>
      <c r="M87">
        <v>3</v>
      </c>
      <c r="N87">
        <v>3</v>
      </c>
      <c r="O87">
        <v>4266</v>
      </c>
      <c r="P87">
        <v>14</v>
      </c>
      <c r="Q87">
        <v>9</v>
      </c>
      <c r="R87">
        <v>1780</v>
      </c>
      <c r="S87">
        <v>90</v>
      </c>
      <c r="T87">
        <v>1080</v>
      </c>
      <c r="U87">
        <v>0.24287600000000001</v>
      </c>
      <c r="V87">
        <v>4.2807999999999999E-2</v>
      </c>
      <c r="W87">
        <v>1.957E-3</v>
      </c>
      <c r="X87">
        <v>2.5370000000000002E-3</v>
      </c>
      <c r="Y87">
        <v>0.29026600000000002</v>
      </c>
      <c r="Z87">
        <v>5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1616</v>
      </c>
      <c r="I88">
        <v>38.01</v>
      </c>
      <c r="J88" t="s">
        <v>31</v>
      </c>
      <c r="K88">
        <v>600</v>
      </c>
      <c r="L88" t="s">
        <v>32</v>
      </c>
      <c r="M88">
        <v>3</v>
      </c>
      <c r="N88">
        <v>3</v>
      </c>
      <c r="O88">
        <v>4335</v>
      </c>
      <c r="P88">
        <v>83</v>
      </c>
      <c r="Q88">
        <v>9</v>
      </c>
      <c r="R88">
        <v>1780</v>
      </c>
      <c r="S88">
        <v>87</v>
      </c>
      <c r="T88">
        <v>1080</v>
      </c>
      <c r="U88">
        <v>0.25778099999999998</v>
      </c>
      <c r="V88">
        <v>4.4108000000000001E-2</v>
      </c>
      <c r="W88">
        <v>2.019E-3</v>
      </c>
      <c r="X88">
        <v>1.2880000000000001E-3</v>
      </c>
      <c r="Y88">
        <v>0.30527599999999999</v>
      </c>
      <c r="Z88">
        <v>5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1616</v>
      </c>
      <c r="I89">
        <v>38.01</v>
      </c>
      <c r="J89" t="s">
        <v>31</v>
      </c>
      <c r="K89">
        <v>600</v>
      </c>
      <c r="L89" t="s">
        <v>32</v>
      </c>
      <c r="M89">
        <v>3</v>
      </c>
      <c r="N89">
        <v>3</v>
      </c>
      <c r="O89">
        <v>4265</v>
      </c>
      <c r="P89">
        <v>13</v>
      </c>
      <c r="Q89">
        <v>9</v>
      </c>
      <c r="R89">
        <v>1780</v>
      </c>
      <c r="S89">
        <v>96</v>
      </c>
      <c r="T89">
        <v>1080</v>
      </c>
      <c r="U89">
        <v>0.75255399999999995</v>
      </c>
      <c r="V89">
        <v>4.4512999999999997E-2</v>
      </c>
      <c r="W89">
        <v>1.9910000000000001E-3</v>
      </c>
      <c r="X89">
        <v>3.7750000000000001E-3</v>
      </c>
      <c r="Y89">
        <v>0.802898</v>
      </c>
      <c r="Z89">
        <v>5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1616</v>
      </c>
      <c r="I90">
        <v>38.01</v>
      </c>
      <c r="J90" t="s">
        <v>31</v>
      </c>
      <c r="K90">
        <v>600</v>
      </c>
      <c r="L90" t="s">
        <v>32</v>
      </c>
      <c r="M90">
        <v>3</v>
      </c>
      <c r="N90">
        <v>3</v>
      </c>
      <c r="O90">
        <v>4276</v>
      </c>
      <c r="P90">
        <v>24</v>
      </c>
      <c r="Q90">
        <v>9</v>
      </c>
      <c r="R90">
        <v>1780</v>
      </c>
      <c r="S90">
        <v>135</v>
      </c>
      <c r="T90">
        <v>1080</v>
      </c>
      <c r="U90">
        <v>0.34954000000000002</v>
      </c>
      <c r="V90">
        <v>4.4637999999999997E-2</v>
      </c>
      <c r="W90">
        <v>2.0170000000000001E-3</v>
      </c>
      <c r="X90">
        <v>4.4219999999999997E-3</v>
      </c>
      <c r="Y90">
        <v>0.40068599999999999</v>
      </c>
      <c r="Z90">
        <v>5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1616</v>
      </c>
      <c r="I91">
        <v>38.01</v>
      </c>
      <c r="J91" t="s">
        <v>31</v>
      </c>
      <c r="K91">
        <v>600</v>
      </c>
      <c r="L91" t="s">
        <v>32</v>
      </c>
      <c r="M91">
        <v>3</v>
      </c>
      <c r="N91">
        <v>3</v>
      </c>
      <c r="O91">
        <v>4280</v>
      </c>
      <c r="P91">
        <v>28</v>
      </c>
      <c r="Q91">
        <v>9</v>
      </c>
      <c r="R91">
        <v>1780</v>
      </c>
      <c r="S91">
        <v>98</v>
      </c>
      <c r="T91">
        <v>1080</v>
      </c>
      <c r="U91">
        <v>0.43552299999999999</v>
      </c>
      <c r="V91">
        <v>4.2853000000000002E-2</v>
      </c>
      <c r="W91">
        <v>2.0089999999999999E-3</v>
      </c>
      <c r="X91">
        <v>2.5330000000000001E-3</v>
      </c>
      <c r="Y91">
        <v>0.48298400000000002</v>
      </c>
      <c r="Z91">
        <v>5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1616</v>
      </c>
      <c r="I92">
        <v>38.01</v>
      </c>
      <c r="J92" t="s">
        <v>31</v>
      </c>
      <c r="K92">
        <v>600</v>
      </c>
      <c r="L92" t="s">
        <v>32</v>
      </c>
      <c r="M92">
        <v>3</v>
      </c>
      <c r="N92">
        <v>3</v>
      </c>
      <c r="O92">
        <v>4268</v>
      </c>
      <c r="P92">
        <v>16</v>
      </c>
      <c r="Q92">
        <v>9</v>
      </c>
      <c r="R92">
        <v>1780</v>
      </c>
      <c r="S92">
        <v>101</v>
      </c>
      <c r="T92">
        <v>1080</v>
      </c>
      <c r="U92">
        <v>0.64940600000000004</v>
      </c>
      <c r="V92">
        <v>4.4774000000000001E-2</v>
      </c>
      <c r="W92">
        <v>2.0249999999999999E-3</v>
      </c>
      <c r="X92">
        <v>2.6199999999999999E-3</v>
      </c>
      <c r="Y92">
        <v>0.69889199999999996</v>
      </c>
      <c r="Z92">
        <v>5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1616</v>
      </c>
      <c r="I93">
        <v>38.01</v>
      </c>
      <c r="J93" t="s">
        <v>31</v>
      </c>
      <c r="K93">
        <v>600</v>
      </c>
      <c r="L93" t="s">
        <v>32</v>
      </c>
      <c r="M93">
        <v>3</v>
      </c>
      <c r="N93">
        <v>3</v>
      </c>
      <c r="O93">
        <v>4254</v>
      </c>
      <c r="P93">
        <v>2</v>
      </c>
      <c r="Q93">
        <v>9</v>
      </c>
      <c r="R93">
        <v>1780</v>
      </c>
      <c r="S93">
        <v>81</v>
      </c>
      <c r="T93">
        <v>1080</v>
      </c>
      <c r="U93">
        <v>1.1204499999999999</v>
      </c>
      <c r="V93">
        <v>4.2998000000000001E-2</v>
      </c>
      <c r="W93">
        <v>2.0149999999999999E-3</v>
      </c>
      <c r="X93">
        <v>2.3999999999999998E-3</v>
      </c>
      <c r="Y93">
        <v>1.1679349999999999</v>
      </c>
      <c r="Z93">
        <v>6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1616</v>
      </c>
      <c r="I94">
        <v>38.01</v>
      </c>
      <c r="J94" t="s">
        <v>31</v>
      </c>
      <c r="K94">
        <v>600</v>
      </c>
      <c r="L94" t="s">
        <v>32</v>
      </c>
      <c r="M94">
        <v>3</v>
      </c>
      <c r="N94">
        <v>3</v>
      </c>
      <c r="O94">
        <v>4273</v>
      </c>
      <c r="P94">
        <v>21</v>
      </c>
      <c r="Q94">
        <v>9</v>
      </c>
      <c r="R94">
        <v>1780</v>
      </c>
      <c r="S94">
        <v>99</v>
      </c>
      <c r="T94">
        <v>1080</v>
      </c>
      <c r="U94">
        <v>0.63991200000000004</v>
      </c>
      <c r="V94">
        <v>4.3881000000000003E-2</v>
      </c>
      <c r="W94">
        <v>2.0500000000000002E-3</v>
      </c>
      <c r="X94">
        <v>5.679E-3</v>
      </c>
      <c r="Y94">
        <v>0.69159599999999999</v>
      </c>
      <c r="Z94">
        <v>6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1616</v>
      </c>
      <c r="I95">
        <v>38.01</v>
      </c>
      <c r="J95" t="s">
        <v>31</v>
      </c>
      <c r="K95">
        <v>600</v>
      </c>
      <c r="L95" t="s">
        <v>32</v>
      </c>
      <c r="M95">
        <v>3</v>
      </c>
      <c r="N95">
        <v>3</v>
      </c>
      <c r="O95">
        <v>4268</v>
      </c>
      <c r="P95">
        <v>16</v>
      </c>
      <c r="Q95">
        <v>9</v>
      </c>
      <c r="R95">
        <v>1780</v>
      </c>
      <c r="S95">
        <v>101</v>
      </c>
      <c r="T95">
        <v>1080</v>
      </c>
      <c r="U95">
        <v>0.24359</v>
      </c>
      <c r="V95">
        <v>4.4929999999999998E-2</v>
      </c>
      <c r="W95">
        <v>1.9789999999999999E-3</v>
      </c>
      <c r="X95">
        <v>4.1289999999999999E-3</v>
      </c>
      <c r="Y95">
        <v>0.29469400000000001</v>
      </c>
      <c r="Z95">
        <v>6</v>
      </c>
      <c r="AA95">
        <v>0</v>
      </c>
      <c r="AB95">
        <v>0</v>
      </c>
      <c r="AC95">
        <v>0</v>
      </c>
    </row>
    <row r="96" spans="1:29" x14ac:dyDescent="0.2">
      <c r="N96">
        <f>AVERAGE(Tabella1[number_of_bsss_used])</f>
        <v>3</v>
      </c>
      <c r="O96">
        <f>AVERAGE(Tabella1[cumulative_energy_used_by_uavs])</f>
        <v>4275.4042553191493</v>
      </c>
      <c r="P96">
        <f>AVERAGE(Tabella1[cumulative_energy_wasted_by_uavs])</f>
        <v>23.404255319148938</v>
      </c>
      <c r="Q96">
        <f>AVERAGE(Tabella1[cumulative_number_of_batteries_used_by_uavs])</f>
        <v>9</v>
      </c>
      <c r="R96">
        <f>AVERAGE(Tabella1[mission_time_seconds])</f>
        <v>1780</v>
      </c>
      <c r="S96">
        <f>AVERAGE(Tabella1[bsss_mission_time_seconds])</f>
        <v>104.34042553191489</v>
      </c>
      <c r="T96">
        <f>AVERAGE(Tabella1[cumulative_swap_time_seconds])</f>
        <v>1080</v>
      </c>
      <c r="U96">
        <f>AVERAGE(Tabella1[darp_execution_time_seconds])</f>
        <v>0.64348640425531911</v>
      </c>
      <c r="V96">
        <f>AVERAGE(Tabella1[stc_execution_time_seconds])</f>
        <v>4.3452563829787225E-2</v>
      </c>
      <c r="W96">
        <f>AVERAGE(Tabella1[pp_uavs_execution_time_seconds])</f>
        <v>2.0442234042553175E-3</v>
      </c>
      <c r="X96">
        <f>AVERAGE(Tabella1[pp_bsss_execution_time_seconds])</f>
        <v>4.5925000000000002E-3</v>
      </c>
      <c r="Z96">
        <f>AVERAGE(Tabella1[darpfailures])</f>
        <v>3.2446808510638299</v>
      </c>
      <c r="AA96">
        <f>AVERAGE(Tabella1[ppbssfailures])</f>
        <v>0</v>
      </c>
      <c r="AB96">
        <f>AVERAGE(Tabella1[ppuavfailures])</f>
        <v>0</v>
      </c>
      <c r="AC96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0EDF-5526-B54C-B023-8A80A14E980B}">
  <dimension ref="A1:I285"/>
  <sheetViews>
    <sheetView tabSelected="1" workbookViewId="0">
      <selection activeCell="I6" sqref="I6"/>
    </sheetView>
  </sheetViews>
  <sheetFormatPr baseColWidth="10" defaultRowHeight="16" x14ac:dyDescent="0.2"/>
  <cols>
    <col min="1" max="4" width="11" customWidth="1"/>
  </cols>
  <sheetData>
    <row r="1" spans="1:9" x14ac:dyDescent="0.2">
      <c r="A1" t="s">
        <v>36</v>
      </c>
      <c r="B1">
        <v>600</v>
      </c>
    </row>
    <row r="2" spans="1:9" x14ac:dyDescent="0.2">
      <c r="G2" t="s">
        <v>41</v>
      </c>
      <c r="H2" t="s">
        <v>42</v>
      </c>
      <c r="I2" t="s">
        <v>43</v>
      </c>
    </row>
    <row r="3" spans="1:9" x14ac:dyDescent="0.2">
      <c r="A3" t="s">
        <v>37</v>
      </c>
      <c r="B3" t="s">
        <v>38</v>
      </c>
      <c r="C3" t="s">
        <v>39</v>
      </c>
      <c r="D3" t="s">
        <v>40</v>
      </c>
      <c r="F3" t="s">
        <v>33</v>
      </c>
      <c r="G3" s="1">
        <f>AVERAGEIF(Tabella2[Colonna1],$F3,Tabella2[Colonna2])/$B$1</f>
        <v>0.99196808510638301</v>
      </c>
      <c r="H3" s="1">
        <f>AVERAGEIF(Tabella2[Colonna1],$F3,Tabella2[Colonna3])/$B$1</f>
        <v>0.99476950354609928</v>
      </c>
      <c r="I3" s="1">
        <f>AVERAGEIF(Tabella2[Colonna1],$F3,Tabella2[Colonna4])/$B$1</f>
        <v>0.37567375886524823</v>
      </c>
    </row>
    <row r="4" spans="1:9" x14ac:dyDescent="0.2">
      <c r="A4" t="s">
        <v>33</v>
      </c>
      <c r="B4">
        <v>598</v>
      </c>
      <c r="C4">
        <v>600</v>
      </c>
      <c r="D4">
        <v>222</v>
      </c>
      <c r="F4" t="s">
        <v>34</v>
      </c>
      <c r="G4" s="1">
        <f>AVERAGEIF(Tabella2[Colonna1],$F4,Tabella2[Colonna2])/$B$1</f>
        <v>0.99693262411347516</v>
      </c>
      <c r="H4" s="1">
        <f>AVERAGEIF(Tabella2[Colonna1],$F4,Tabella2[Colonna3])/$B$1</f>
        <v>0.99554964539007096</v>
      </c>
      <c r="I4" s="1">
        <f>AVERAGEIF(Tabella2[Colonna1],$F4,Tabella2[Colonna4])/$B$1</f>
        <v>0.36943262411347516</v>
      </c>
    </row>
    <row r="5" spans="1:9" x14ac:dyDescent="0.2">
      <c r="A5" t="s">
        <v>34</v>
      </c>
      <c r="B5">
        <v>596</v>
      </c>
      <c r="C5">
        <v>594</v>
      </c>
      <c r="D5">
        <v>226</v>
      </c>
      <c r="F5" t="s">
        <v>35</v>
      </c>
      <c r="G5" s="1">
        <f>AVERAGEIF(Tabella2[Colonna1],$F5,Tabella2[Colonna2])/$B$1</f>
        <v>0.99574468085106393</v>
      </c>
      <c r="H5" s="1">
        <f>AVERAGEIF(Tabella2[Colonna1],$F5,Tabella2[Colonna3])/$B$1</f>
        <v>0.98602836879432632</v>
      </c>
      <c r="I5" s="1">
        <f>AVERAGEIF(Tabella2[Colonna1],$F5,Tabella2[Colonna4])/$B$1</f>
        <v>0.38056737588652484</v>
      </c>
    </row>
    <row r="6" spans="1:9" x14ac:dyDescent="0.2">
      <c r="A6" t="s">
        <v>35</v>
      </c>
      <c r="B6">
        <v>600</v>
      </c>
      <c r="C6">
        <v>595</v>
      </c>
      <c r="D6">
        <v>221</v>
      </c>
      <c r="G6" s="2">
        <f>AVERAGE(G3:G5)</f>
        <v>0.9948817966903073</v>
      </c>
      <c r="H6" s="2">
        <f>AVERAGE(H3:H5)</f>
        <v>0.99211583924349878</v>
      </c>
      <c r="I6" s="2">
        <f>AVERAGE(I3:I5)</f>
        <v>0.3752245862884161</v>
      </c>
    </row>
    <row r="7" spans="1:9" x14ac:dyDescent="0.2">
      <c r="A7" t="s">
        <v>33</v>
      </c>
      <c r="B7">
        <v>592</v>
      </c>
      <c r="C7">
        <v>600</v>
      </c>
      <c r="D7">
        <v>228</v>
      </c>
    </row>
    <row r="8" spans="1:9" x14ac:dyDescent="0.2">
      <c r="A8" t="s">
        <v>34</v>
      </c>
      <c r="B8">
        <v>600</v>
      </c>
      <c r="C8">
        <v>600</v>
      </c>
      <c r="D8">
        <v>216</v>
      </c>
    </row>
    <row r="9" spans="1:9" x14ac:dyDescent="0.2">
      <c r="A9" t="s">
        <v>35</v>
      </c>
      <c r="B9">
        <v>596</v>
      </c>
      <c r="C9">
        <v>600</v>
      </c>
      <c r="D9">
        <v>220</v>
      </c>
    </row>
    <row r="10" spans="1:9" x14ac:dyDescent="0.2">
      <c r="A10" t="s">
        <v>33</v>
      </c>
      <c r="B10">
        <v>590</v>
      </c>
      <c r="C10">
        <v>600</v>
      </c>
      <c r="D10">
        <v>226</v>
      </c>
    </row>
    <row r="11" spans="1:9" x14ac:dyDescent="0.2">
      <c r="A11" t="s">
        <v>34</v>
      </c>
      <c r="B11">
        <v>600</v>
      </c>
      <c r="C11">
        <v>598</v>
      </c>
      <c r="D11">
        <v>218</v>
      </c>
    </row>
    <row r="12" spans="1:9" x14ac:dyDescent="0.2">
      <c r="A12" t="s">
        <v>35</v>
      </c>
      <c r="B12">
        <v>600</v>
      </c>
      <c r="C12">
        <v>600</v>
      </c>
      <c r="D12">
        <v>220</v>
      </c>
    </row>
    <row r="13" spans="1:9" x14ac:dyDescent="0.2">
      <c r="A13" t="s">
        <v>33</v>
      </c>
      <c r="B13">
        <v>600</v>
      </c>
      <c r="C13">
        <v>596</v>
      </c>
      <c r="D13">
        <v>220</v>
      </c>
    </row>
    <row r="14" spans="1:9" x14ac:dyDescent="0.2">
      <c r="A14" t="s">
        <v>34</v>
      </c>
      <c r="B14">
        <v>596</v>
      </c>
      <c r="C14">
        <v>600</v>
      </c>
      <c r="D14">
        <v>224</v>
      </c>
    </row>
    <row r="15" spans="1:9" x14ac:dyDescent="0.2">
      <c r="A15" t="s">
        <v>35</v>
      </c>
      <c r="B15">
        <v>600</v>
      </c>
      <c r="C15">
        <v>573</v>
      </c>
      <c r="D15">
        <v>243</v>
      </c>
    </row>
    <row r="16" spans="1:9" x14ac:dyDescent="0.2">
      <c r="A16" t="s">
        <v>33</v>
      </c>
      <c r="B16">
        <v>600</v>
      </c>
      <c r="C16">
        <v>600</v>
      </c>
      <c r="D16">
        <v>220</v>
      </c>
    </row>
    <row r="17" spans="1:4" x14ac:dyDescent="0.2">
      <c r="A17" t="s">
        <v>34</v>
      </c>
      <c r="B17">
        <v>600</v>
      </c>
      <c r="C17">
        <v>594</v>
      </c>
      <c r="D17">
        <v>222</v>
      </c>
    </row>
    <row r="18" spans="1:4" x14ac:dyDescent="0.2">
      <c r="A18" t="s">
        <v>35</v>
      </c>
      <c r="B18">
        <v>600</v>
      </c>
      <c r="C18">
        <v>598</v>
      </c>
      <c r="D18">
        <v>218</v>
      </c>
    </row>
    <row r="19" spans="1:4" x14ac:dyDescent="0.2">
      <c r="A19" t="s">
        <v>33</v>
      </c>
      <c r="B19">
        <v>598</v>
      </c>
      <c r="C19">
        <v>594</v>
      </c>
      <c r="D19">
        <v>224</v>
      </c>
    </row>
    <row r="20" spans="1:4" x14ac:dyDescent="0.2">
      <c r="A20" t="s">
        <v>34</v>
      </c>
      <c r="B20">
        <v>600</v>
      </c>
      <c r="C20">
        <v>590</v>
      </c>
      <c r="D20">
        <v>226</v>
      </c>
    </row>
    <row r="21" spans="1:4" x14ac:dyDescent="0.2">
      <c r="A21" t="s">
        <v>35</v>
      </c>
      <c r="B21">
        <v>600</v>
      </c>
      <c r="C21">
        <v>594</v>
      </c>
      <c r="D21">
        <v>226</v>
      </c>
    </row>
    <row r="22" spans="1:4" x14ac:dyDescent="0.2">
      <c r="A22" t="s">
        <v>33</v>
      </c>
      <c r="B22">
        <v>598</v>
      </c>
      <c r="C22">
        <v>600</v>
      </c>
      <c r="D22">
        <v>218</v>
      </c>
    </row>
    <row r="23" spans="1:4" x14ac:dyDescent="0.2">
      <c r="A23" t="s">
        <v>34</v>
      </c>
      <c r="B23">
        <v>600</v>
      </c>
      <c r="C23">
        <v>596</v>
      </c>
      <c r="D23">
        <v>220</v>
      </c>
    </row>
    <row r="24" spans="1:4" x14ac:dyDescent="0.2">
      <c r="A24" t="s">
        <v>35</v>
      </c>
      <c r="B24">
        <v>594</v>
      </c>
      <c r="C24">
        <v>599</v>
      </c>
      <c r="D24">
        <v>227</v>
      </c>
    </row>
    <row r="25" spans="1:4" x14ac:dyDescent="0.2">
      <c r="A25" t="s">
        <v>33</v>
      </c>
      <c r="B25">
        <v>598</v>
      </c>
      <c r="C25">
        <v>594</v>
      </c>
      <c r="D25">
        <v>224</v>
      </c>
    </row>
    <row r="26" spans="1:4" x14ac:dyDescent="0.2">
      <c r="A26" t="s">
        <v>34</v>
      </c>
      <c r="B26">
        <v>596</v>
      </c>
      <c r="C26">
        <v>596</v>
      </c>
      <c r="D26">
        <v>224</v>
      </c>
    </row>
    <row r="27" spans="1:4" x14ac:dyDescent="0.2">
      <c r="A27" t="s">
        <v>35</v>
      </c>
      <c r="B27">
        <v>600</v>
      </c>
      <c r="C27">
        <v>592</v>
      </c>
      <c r="D27">
        <v>228</v>
      </c>
    </row>
    <row r="28" spans="1:4" x14ac:dyDescent="0.2">
      <c r="A28" t="s">
        <v>33</v>
      </c>
      <c r="B28">
        <v>600</v>
      </c>
      <c r="C28">
        <v>598</v>
      </c>
      <c r="D28">
        <v>218</v>
      </c>
    </row>
    <row r="29" spans="1:4" x14ac:dyDescent="0.2">
      <c r="A29" t="s">
        <v>34</v>
      </c>
      <c r="B29">
        <v>597</v>
      </c>
      <c r="C29">
        <v>600</v>
      </c>
      <c r="D29">
        <v>223</v>
      </c>
    </row>
    <row r="30" spans="1:4" x14ac:dyDescent="0.2">
      <c r="A30" t="s">
        <v>35</v>
      </c>
      <c r="B30">
        <v>592</v>
      </c>
      <c r="C30">
        <v>598</v>
      </c>
      <c r="D30">
        <v>226</v>
      </c>
    </row>
    <row r="31" spans="1:4" x14ac:dyDescent="0.2">
      <c r="A31" t="s">
        <v>33</v>
      </c>
      <c r="B31">
        <v>596</v>
      </c>
      <c r="C31">
        <v>594</v>
      </c>
      <c r="D31">
        <v>226</v>
      </c>
    </row>
    <row r="32" spans="1:4" x14ac:dyDescent="0.2">
      <c r="A32" t="s">
        <v>34</v>
      </c>
      <c r="B32">
        <v>596</v>
      </c>
      <c r="C32">
        <v>600</v>
      </c>
      <c r="D32">
        <v>224</v>
      </c>
    </row>
    <row r="33" spans="1:4" x14ac:dyDescent="0.2">
      <c r="A33" t="s">
        <v>35</v>
      </c>
      <c r="B33">
        <v>592</v>
      </c>
      <c r="C33">
        <v>600</v>
      </c>
      <c r="D33">
        <v>224</v>
      </c>
    </row>
    <row r="34" spans="1:4" x14ac:dyDescent="0.2">
      <c r="A34" t="s">
        <v>33</v>
      </c>
      <c r="B34">
        <v>600</v>
      </c>
      <c r="C34">
        <v>594</v>
      </c>
      <c r="D34">
        <v>226</v>
      </c>
    </row>
    <row r="35" spans="1:4" x14ac:dyDescent="0.2">
      <c r="A35" t="s">
        <v>34</v>
      </c>
      <c r="B35">
        <v>598</v>
      </c>
      <c r="C35">
        <v>598</v>
      </c>
      <c r="D35">
        <v>220</v>
      </c>
    </row>
    <row r="36" spans="1:4" x14ac:dyDescent="0.2">
      <c r="A36" t="s">
        <v>35</v>
      </c>
      <c r="B36">
        <v>592</v>
      </c>
      <c r="C36">
        <v>600</v>
      </c>
      <c r="D36">
        <v>224</v>
      </c>
    </row>
    <row r="37" spans="1:4" x14ac:dyDescent="0.2">
      <c r="A37" t="s">
        <v>33</v>
      </c>
      <c r="B37">
        <v>598</v>
      </c>
      <c r="C37">
        <v>600</v>
      </c>
      <c r="D37">
        <v>218</v>
      </c>
    </row>
    <row r="38" spans="1:4" x14ac:dyDescent="0.2">
      <c r="A38" t="s">
        <v>34</v>
      </c>
      <c r="B38">
        <v>596</v>
      </c>
      <c r="C38">
        <v>598</v>
      </c>
      <c r="D38">
        <v>226</v>
      </c>
    </row>
    <row r="39" spans="1:4" x14ac:dyDescent="0.2">
      <c r="A39" t="s">
        <v>35</v>
      </c>
      <c r="B39">
        <v>592</v>
      </c>
      <c r="C39">
        <v>562</v>
      </c>
      <c r="D39">
        <v>262</v>
      </c>
    </row>
    <row r="40" spans="1:4" x14ac:dyDescent="0.2">
      <c r="A40" t="s">
        <v>33</v>
      </c>
      <c r="B40">
        <v>598</v>
      </c>
      <c r="C40">
        <v>592</v>
      </c>
      <c r="D40">
        <v>230</v>
      </c>
    </row>
    <row r="41" spans="1:4" x14ac:dyDescent="0.2">
      <c r="A41" t="s">
        <v>34</v>
      </c>
      <c r="B41">
        <v>598</v>
      </c>
      <c r="C41">
        <v>598</v>
      </c>
      <c r="D41">
        <v>220</v>
      </c>
    </row>
    <row r="42" spans="1:4" x14ac:dyDescent="0.2">
      <c r="A42" t="s">
        <v>35</v>
      </c>
      <c r="B42">
        <v>598</v>
      </c>
      <c r="C42">
        <v>597</v>
      </c>
      <c r="D42">
        <v>221</v>
      </c>
    </row>
    <row r="43" spans="1:4" x14ac:dyDescent="0.2">
      <c r="A43" t="s">
        <v>33</v>
      </c>
      <c r="B43">
        <v>594</v>
      </c>
      <c r="C43">
        <v>594</v>
      </c>
      <c r="D43">
        <v>232</v>
      </c>
    </row>
    <row r="44" spans="1:4" x14ac:dyDescent="0.2">
      <c r="A44" t="s">
        <v>34</v>
      </c>
      <c r="B44">
        <v>594</v>
      </c>
      <c r="C44">
        <v>600</v>
      </c>
      <c r="D44">
        <v>222</v>
      </c>
    </row>
    <row r="45" spans="1:4" x14ac:dyDescent="0.2">
      <c r="A45" t="s">
        <v>35</v>
      </c>
      <c r="B45">
        <v>600</v>
      </c>
      <c r="C45">
        <v>600</v>
      </c>
      <c r="D45">
        <v>216</v>
      </c>
    </row>
    <row r="46" spans="1:4" x14ac:dyDescent="0.2">
      <c r="A46" t="s">
        <v>33</v>
      </c>
      <c r="B46">
        <v>596</v>
      </c>
      <c r="C46">
        <v>590</v>
      </c>
      <c r="D46">
        <v>230</v>
      </c>
    </row>
    <row r="47" spans="1:4" x14ac:dyDescent="0.2">
      <c r="A47" t="s">
        <v>34</v>
      </c>
      <c r="B47">
        <v>600</v>
      </c>
      <c r="C47">
        <v>600</v>
      </c>
      <c r="D47">
        <v>216</v>
      </c>
    </row>
    <row r="48" spans="1:4" x14ac:dyDescent="0.2">
      <c r="A48" t="s">
        <v>35</v>
      </c>
      <c r="B48">
        <v>600</v>
      </c>
      <c r="C48">
        <v>592</v>
      </c>
      <c r="D48">
        <v>228</v>
      </c>
    </row>
    <row r="49" spans="1:4" x14ac:dyDescent="0.2">
      <c r="A49" t="s">
        <v>33</v>
      </c>
      <c r="B49">
        <v>600</v>
      </c>
      <c r="C49">
        <v>600</v>
      </c>
      <c r="D49">
        <v>216</v>
      </c>
    </row>
    <row r="50" spans="1:4" x14ac:dyDescent="0.2">
      <c r="A50" t="s">
        <v>34</v>
      </c>
      <c r="B50">
        <v>600</v>
      </c>
      <c r="C50">
        <v>594</v>
      </c>
      <c r="D50">
        <v>222</v>
      </c>
    </row>
    <row r="51" spans="1:4" x14ac:dyDescent="0.2">
      <c r="A51" t="s">
        <v>35</v>
      </c>
      <c r="B51">
        <v>600</v>
      </c>
      <c r="C51">
        <v>600</v>
      </c>
      <c r="D51">
        <v>220</v>
      </c>
    </row>
    <row r="52" spans="1:4" x14ac:dyDescent="0.2">
      <c r="A52" t="s">
        <v>33</v>
      </c>
      <c r="B52">
        <v>600</v>
      </c>
      <c r="C52">
        <v>598</v>
      </c>
      <c r="D52">
        <v>218</v>
      </c>
    </row>
    <row r="53" spans="1:4" x14ac:dyDescent="0.2">
      <c r="A53" t="s">
        <v>34</v>
      </c>
      <c r="B53">
        <v>597</v>
      </c>
      <c r="C53">
        <v>597</v>
      </c>
      <c r="D53">
        <v>226</v>
      </c>
    </row>
    <row r="54" spans="1:4" x14ac:dyDescent="0.2">
      <c r="A54" t="s">
        <v>35</v>
      </c>
      <c r="B54">
        <v>592</v>
      </c>
      <c r="C54">
        <v>599</v>
      </c>
      <c r="D54">
        <v>225</v>
      </c>
    </row>
    <row r="55" spans="1:4" x14ac:dyDescent="0.2">
      <c r="A55" t="s">
        <v>33</v>
      </c>
      <c r="B55">
        <v>592</v>
      </c>
      <c r="C55">
        <v>594</v>
      </c>
      <c r="D55">
        <v>234</v>
      </c>
    </row>
    <row r="56" spans="1:4" x14ac:dyDescent="0.2">
      <c r="A56" t="s">
        <v>34</v>
      </c>
      <c r="B56">
        <v>598</v>
      </c>
      <c r="C56">
        <v>598</v>
      </c>
      <c r="D56">
        <v>220</v>
      </c>
    </row>
    <row r="57" spans="1:4" x14ac:dyDescent="0.2">
      <c r="A57" t="s">
        <v>35</v>
      </c>
      <c r="B57">
        <v>600</v>
      </c>
      <c r="C57">
        <v>592</v>
      </c>
      <c r="D57">
        <v>224</v>
      </c>
    </row>
    <row r="58" spans="1:4" x14ac:dyDescent="0.2">
      <c r="A58" t="s">
        <v>33</v>
      </c>
      <c r="B58">
        <v>600</v>
      </c>
      <c r="C58">
        <v>594</v>
      </c>
      <c r="D58">
        <v>222</v>
      </c>
    </row>
    <row r="59" spans="1:4" x14ac:dyDescent="0.2">
      <c r="A59" t="s">
        <v>34</v>
      </c>
      <c r="B59">
        <v>594</v>
      </c>
      <c r="C59">
        <v>600</v>
      </c>
      <c r="D59">
        <v>226</v>
      </c>
    </row>
    <row r="60" spans="1:4" x14ac:dyDescent="0.2">
      <c r="A60" t="s">
        <v>35</v>
      </c>
      <c r="B60">
        <v>600</v>
      </c>
      <c r="C60">
        <v>600</v>
      </c>
      <c r="D60">
        <v>216</v>
      </c>
    </row>
    <row r="61" spans="1:4" x14ac:dyDescent="0.2">
      <c r="A61" t="s">
        <v>33</v>
      </c>
      <c r="B61">
        <v>592</v>
      </c>
      <c r="C61">
        <v>594</v>
      </c>
      <c r="D61">
        <v>234</v>
      </c>
    </row>
    <row r="62" spans="1:4" x14ac:dyDescent="0.2">
      <c r="A62" t="s">
        <v>34</v>
      </c>
      <c r="B62">
        <v>600</v>
      </c>
      <c r="C62">
        <v>600</v>
      </c>
      <c r="D62">
        <v>216</v>
      </c>
    </row>
    <row r="63" spans="1:4" x14ac:dyDescent="0.2">
      <c r="A63" t="s">
        <v>35</v>
      </c>
      <c r="B63">
        <v>592</v>
      </c>
      <c r="C63">
        <v>598</v>
      </c>
      <c r="D63">
        <v>226</v>
      </c>
    </row>
    <row r="64" spans="1:4" x14ac:dyDescent="0.2">
      <c r="A64" t="s">
        <v>33</v>
      </c>
      <c r="B64">
        <v>596</v>
      </c>
      <c r="C64">
        <v>598</v>
      </c>
      <c r="D64">
        <v>226</v>
      </c>
    </row>
    <row r="65" spans="1:4" x14ac:dyDescent="0.2">
      <c r="A65" t="s">
        <v>34</v>
      </c>
      <c r="B65">
        <v>600</v>
      </c>
      <c r="C65">
        <v>596</v>
      </c>
      <c r="D65">
        <v>220</v>
      </c>
    </row>
    <row r="66" spans="1:4" x14ac:dyDescent="0.2">
      <c r="A66" t="s">
        <v>35</v>
      </c>
      <c r="B66">
        <v>598</v>
      </c>
      <c r="C66">
        <v>600</v>
      </c>
      <c r="D66">
        <v>218</v>
      </c>
    </row>
    <row r="67" spans="1:4" x14ac:dyDescent="0.2">
      <c r="A67" t="s">
        <v>33</v>
      </c>
      <c r="B67">
        <v>600</v>
      </c>
      <c r="C67">
        <v>600</v>
      </c>
      <c r="D67">
        <v>220</v>
      </c>
    </row>
    <row r="68" spans="1:4" x14ac:dyDescent="0.2">
      <c r="A68" t="s">
        <v>34</v>
      </c>
      <c r="B68">
        <v>600</v>
      </c>
      <c r="C68">
        <v>598</v>
      </c>
      <c r="D68">
        <v>218</v>
      </c>
    </row>
    <row r="69" spans="1:4" x14ac:dyDescent="0.2">
      <c r="A69" t="s">
        <v>35</v>
      </c>
      <c r="B69">
        <v>600</v>
      </c>
      <c r="C69">
        <v>547</v>
      </c>
      <c r="D69">
        <v>269</v>
      </c>
    </row>
    <row r="70" spans="1:4" x14ac:dyDescent="0.2">
      <c r="A70" t="s">
        <v>33</v>
      </c>
      <c r="B70">
        <v>596</v>
      </c>
      <c r="C70">
        <v>586</v>
      </c>
      <c r="D70">
        <v>238</v>
      </c>
    </row>
    <row r="71" spans="1:4" x14ac:dyDescent="0.2">
      <c r="A71" t="s">
        <v>34</v>
      </c>
      <c r="B71">
        <v>598</v>
      </c>
      <c r="C71">
        <v>596</v>
      </c>
      <c r="D71">
        <v>222</v>
      </c>
    </row>
    <row r="72" spans="1:4" x14ac:dyDescent="0.2">
      <c r="A72" t="s">
        <v>35</v>
      </c>
      <c r="B72">
        <v>592</v>
      </c>
      <c r="C72">
        <v>555</v>
      </c>
      <c r="D72">
        <v>269</v>
      </c>
    </row>
    <row r="73" spans="1:4" x14ac:dyDescent="0.2">
      <c r="A73" t="s">
        <v>33</v>
      </c>
      <c r="B73">
        <v>594</v>
      </c>
      <c r="C73">
        <v>596</v>
      </c>
      <c r="D73">
        <v>226</v>
      </c>
    </row>
    <row r="74" spans="1:4" x14ac:dyDescent="0.2">
      <c r="A74" t="s">
        <v>34</v>
      </c>
      <c r="B74">
        <v>600</v>
      </c>
      <c r="C74">
        <v>600</v>
      </c>
      <c r="D74">
        <v>220</v>
      </c>
    </row>
    <row r="75" spans="1:4" x14ac:dyDescent="0.2">
      <c r="A75" t="s">
        <v>35</v>
      </c>
      <c r="B75">
        <v>598</v>
      </c>
      <c r="C75">
        <v>597</v>
      </c>
      <c r="D75">
        <v>221</v>
      </c>
    </row>
    <row r="76" spans="1:4" x14ac:dyDescent="0.2">
      <c r="A76" t="s">
        <v>33</v>
      </c>
      <c r="B76">
        <v>596</v>
      </c>
      <c r="C76">
        <v>592</v>
      </c>
      <c r="D76">
        <v>232</v>
      </c>
    </row>
    <row r="77" spans="1:4" x14ac:dyDescent="0.2">
      <c r="A77" t="s">
        <v>34</v>
      </c>
      <c r="B77">
        <v>600</v>
      </c>
      <c r="C77">
        <v>600</v>
      </c>
      <c r="D77">
        <v>216</v>
      </c>
    </row>
    <row r="78" spans="1:4" x14ac:dyDescent="0.2">
      <c r="A78" t="s">
        <v>35</v>
      </c>
      <c r="B78">
        <v>600</v>
      </c>
      <c r="C78">
        <v>600</v>
      </c>
      <c r="D78">
        <v>216</v>
      </c>
    </row>
    <row r="79" spans="1:4" x14ac:dyDescent="0.2">
      <c r="A79" t="s">
        <v>33</v>
      </c>
      <c r="B79">
        <v>600</v>
      </c>
      <c r="C79">
        <v>600</v>
      </c>
      <c r="D79">
        <v>216</v>
      </c>
    </row>
    <row r="80" spans="1:4" x14ac:dyDescent="0.2">
      <c r="A80" t="s">
        <v>34</v>
      </c>
      <c r="B80">
        <v>600</v>
      </c>
      <c r="C80">
        <v>600</v>
      </c>
      <c r="D80">
        <v>216</v>
      </c>
    </row>
    <row r="81" spans="1:4" x14ac:dyDescent="0.2">
      <c r="A81" t="s">
        <v>35</v>
      </c>
      <c r="B81">
        <v>600</v>
      </c>
      <c r="C81">
        <v>600</v>
      </c>
      <c r="D81">
        <v>220</v>
      </c>
    </row>
    <row r="82" spans="1:4" x14ac:dyDescent="0.2">
      <c r="A82" t="s">
        <v>33</v>
      </c>
      <c r="B82">
        <v>598</v>
      </c>
      <c r="C82">
        <v>594</v>
      </c>
      <c r="D82">
        <v>228</v>
      </c>
    </row>
    <row r="83" spans="1:4" x14ac:dyDescent="0.2">
      <c r="A83" t="s">
        <v>34</v>
      </c>
      <c r="B83">
        <v>599</v>
      </c>
      <c r="C83">
        <v>600</v>
      </c>
      <c r="D83">
        <v>217</v>
      </c>
    </row>
    <row r="84" spans="1:4" x14ac:dyDescent="0.2">
      <c r="A84" t="s">
        <v>35</v>
      </c>
      <c r="B84">
        <v>600</v>
      </c>
      <c r="C84">
        <v>587</v>
      </c>
      <c r="D84">
        <v>229</v>
      </c>
    </row>
    <row r="85" spans="1:4" x14ac:dyDescent="0.2">
      <c r="A85" t="s">
        <v>33</v>
      </c>
      <c r="B85">
        <v>600</v>
      </c>
      <c r="C85">
        <v>600</v>
      </c>
      <c r="D85">
        <v>216</v>
      </c>
    </row>
    <row r="86" spans="1:4" x14ac:dyDescent="0.2">
      <c r="A86" t="s">
        <v>34</v>
      </c>
      <c r="B86">
        <v>600</v>
      </c>
      <c r="C86">
        <v>600</v>
      </c>
      <c r="D86">
        <v>216</v>
      </c>
    </row>
    <row r="87" spans="1:4" x14ac:dyDescent="0.2">
      <c r="A87" t="s">
        <v>35</v>
      </c>
      <c r="B87">
        <v>600</v>
      </c>
      <c r="C87">
        <v>596</v>
      </c>
      <c r="D87">
        <v>224</v>
      </c>
    </row>
    <row r="88" spans="1:4" x14ac:dyDescent="0.2">
      <c r="A88" t="s">
        <v>33</v>
      </c>
      <c r="B88">
        <v>600</v>
      </c>
      <c r="C88">
        <v>600</v>
      </c>
      <c r="D88">
        <v>216</v>
      </c>
    </row>
    <row r="89" spans="1:4" x14ac:dyDescent="0.2">
      <c r="A89" t="s">
        <v>34</v>
      </c>
      <c r="B89">
        <v>600</v>
      </c>
      <c r="C89">
        <v>600</v>
      </c>
      <c r="D89">
        <v>216</v>
      </c>
    </row>
    <row r="90" spans="1:4" x14ac:dyDescent="0.2">
      <c r="A90" t="s">
        <v>35</v>
      </c>
      <c r="B90">
        <v>598</v>
      </c>
      <c r="C90">
        <v>600</v>
      </c>
      <c r="D90">
        <v>222</v>
      </c>
    </row>
    <row r="91" spans="1:4" x14ac:dyDescent="0.2">
      <c r="A91" t="s">
        <v>33</v>
      </c>
      <c r="B91">
        <v>596</v>
      </c>
      <c r="C91">
        <v>594</v>
      </c>
      <c r="D91">
        <v>230</v>
      </c>
    </row>
    <row r="92" spans="1:4" x14ac:dyDescent="0.2">
      <c r="A92" t="s">
        <v>34</v>
      </c>
      <c r="B92">
        <v>600</v>
      </c>
      <c r="C92">
        <v>598</v>
      </c>
      <c r="D92">
        <v>218</v>
      </c>
    </row>
    <row r="93" spans="1:4" x14ac:dyDescent="0.2">
      <c r="A93" t="s">
        <v>35</v>
      </c>
      <c r="B93">
        <v>600</v>
      </c>
      <c r="C93">
        <v>600</v>
      </c>
      <c r="D93">
        <v>216</v>
      </c>
    </row>
    <row r="94" spans="1:4" x14ac:dyDescent="0.2">
      <c r="A94" t="s">
        <v>33</v>
      </c>
      <c r="B94">
        <v>598</v>
      </c>
      <c r="C94">
        <v>600</v>
      </c>
      <c r="D94">
        <v>218</v>
      </c>
    </row>
    <row r="95" spans="1:4" x14ac:dyDescent="0.2">
      <c r="A95" t="s">
        <v>34</v>
      </c>
      <c r="B95">
        <v>594</v>
      </c>
      <c r="C95">
        <v>596</v>
      </c>
      <c r="D95">
        <v>226</v>
      </c>
    </row>
    <row r="96" spans="1:4" x14ac:dyDescent="0.2">
      <c r="A96" t="s">
        <v>35</v>
      </c>
      <c r="B96">
        <v>600</v>
      </c>
      <c r="C96">
        <v>579</v>
      </c>
      <c r="D96">
        <v>241</v>
      </c>
    </row>
    <row r="97" spans="1:4" x14ac:dyDescent="0.2">
      <c r="A97" t="s">
        <v>33</v>
      </c>
      <c r="B97">
        <v>594</v>
      </c>
      <c r="C97">
        <v>594</v>
      </c>
      <c r="D97">
        <v>232</v>
      </c>
    </row>
    <row r="98" spans="1:4" x14ac:dyDescent="0.2">
      <c r="A98" t="s">
        <v>34</v>
      </c>
      <c r="B98">
        <v>600</v>
      </c>
      <c r="C98">
        <v>590</v>
      </c>
      <c r="D98">
        <v>226</v>
      </c>
    </row>
    <row r="99" spans="1:4" x14ac:dyDescent="0.2">
      <c r="A99" t="s">
        <v>35</v>
      </c>
      <c r="B99">
        <v>600</v>
      </c>
      <c r="C99">
        <v>600</v>
      </c>
      <c r="D99">
        <v>216</v>
      </c>
    </row>
    <row r="100" spans="1:4" x14ac:dyDescent="0.2">
      <c r="A100" t="s">
        <v>33</v>
      </c>
      <c r="B100">
        <v>592</v>
      </c>
      <c r="C100">
        <v>596</v>
      </c>
      <c r="D100">
        <v>228</v>
      </c>
    </row>
    <row r="101" spans="1:4" x14ac:dyDescent="0.2">
      <c r="A101" t="s">
        <v>34</v>
      </c>
      <c r="B101">
        <v>596</v>
      </c>
      <c r="C101">
        <v>600</v>
      </c>
      <c r="D101">
        <v>220</v>
      </c>
    </row>
    <row r="102" spans="1:4" x14ac:dyDescent="0.2">
      <c r="A102" t="s">
        <v>35</v>
      </c>
      <c r="B102">
        <v>594</v>
      </c>
      <c r="C102">
        <v>600</v>
      </c>
      <c r="D102">
        <v>226</v>
      </c>
    </row>
    <row r="103" spans="1:4" x14ac:dyDescent="0.2">
      <c r="A103" t="s">
        <v>33</v>
      </c>
      <c r="B103">
        <v>590</v>
      </c>
      <c r="C103">
        <v>596</v>
      </c>
      <c r="D103">
        <v>230</v>
      </c>
    </row>
    <row r="104" spans="1:4" x14ac:dyDescent="0.2">
      <c r="A104" t="s">
        <v>34</v>
      </c>
      <c r="B104">
        <v>600</v>
      </c>
      <c r="C104">
        <v>600</v>
      </c>
      <c r="D104">
        <v>216</v>
      </c>
    </row>
    <row r="105" spans="1:4" x14ac:dyDescent="0.2">
      <c r="A105" t="s">
        <v>35</v>
      </c>
      <c r="B105">
        <v>600</v>
      </c>
      <c r="C105">
        <v>596</v>
      </c>
      <c r="D105">
        <v>224</v>
      </c>
    </row>
    <row r="106" spans="1:4" x14ac:dyDescent="0.2">
      <c r="A106" t="s">
        <v>33</v>
      </c>
      <c r="B106">
        <v>586</v>
      </c>
      <c r="C106">
        <v>600</v>
      </c>
      <c r="D106">
        <v>230</v>
      </c>
    </row>
    <row r="107" spans="1:4" x14ac:dyDescent="0.2">
      <c r="A107" t="s">
        <v>34</v>
      </c>
      <c r="B107">
        <v>598</v>
      </c>
      <c r="C107">
        <v>600</v>
      </c>
      <c r="D107">
        <v>222</v>
      </c>
    </row>
    <row r="108" spans="1:4" x14ac:dyDescent="0.2">
      <c r="A108" t="s">
        <v>35</v>
      </c>
      <c r="B108">
        <v>600</v>
      </c>
      <c r="C108">
        <v>600</v>
      </c>
      <c r="D108">
        <v>216</v>
      </c>
    </row>
    <row r="109" spans="1:4" x14ac:dyDescent="0.2">
      <c r="A109" t="s">
        <v>33</v>
      </c>
      <c r="B109">
        <v>596</v>
      </c>
      <c r="C109">
        <v>586</v>
      </c>
      <c r="D109">
        <v>234</v>
      </c>
    </row>
    <row r="110" spans="1:4" x14ac:dyDescent="0.2">
      <c r="A110" t="s">
        <v>34</v>
      </c>
      <c r="B110">
        <v>600</v>
      </c>
      <c r="C110">
        <v>600</v>
      </c>
      <c r="D110">
        <v>216</v>
      </c>
    </row>
    <row r="111" spans="1:4" x14ac:dyDescent="0.2">
      <c r="A111" t="s">
        <v>35</v>
      </c>
      <c r="B111">
        <v>596</v>
      </c>
      <c r="C111">
        <v>599</v>
      </c>
      <c r="D111">
        <v>225</v>
      </c>
    </row>
    <row r="112" spans="1:4" x14ac:dyDescent="0.2">
      <c r="A112" t="s">
        <v>33</v>
      </c>
      <c r="B112">
        <v>598</v>
      </c>
      <c r="C112">
        <v>598</v>
      </c>
      <c r="D112">
        <v>220</v>
      </c>
    </row>
    <row r="113" spans="1:4" x14ac:dyDescent="0.2">
      <c r="A113" t="s">
        <v>34</v>
      </c>
      <c r="B113">
        <v>600</v>
      </c>
      <c r="C113">
        <v>596</v>
      </c>
      <c r="D113">
        <v>224</v>
      </c>
    </row>
    <row r="114" spans="1:4" x14ac:dyDescent="0.2">
      <c r="A114" t="s">
        <v>35</v>
      </c>
      <c r="B114">
        <v>600</v>
      </c>
      <c r="C114">
        <v>596</v>
      </c>
      <c r="D114">
        <v>220</v>
      </c>
    </row>
    <row r="115" spans="1:4" x14ac:dyDescent="0.2">
      <c r="A115" t="s">
        <v>33</v>
      </c>
      <c r="B115">
        <v>596</v>
      </c>
      <c r="C115">
        <v>600</v>
      </c>
      <c r="D115">
        <v>220</v>
      </c>
    </row>
    <row r="116" spans="1:4" x14ac:dyDescent="0.2">
      <c r="A116" t="s">
        <v>34</v>
      </c>
      <c r="B116">
        <v>600</v>
      </c>
      <c r="C116">
        <v>598</v>
      </c>
      <c r="D116">
        <v>218</v>
      </c>
    </row>
    <row r="117" spans="1:4" x14ac:dyDescent="0.2">
      <c r="A117" t="s">
        <v>35</v>
      </c>
      <c r="B117">
        <v>600</v>
      </c>
      <c r="C117">
        <v>598</v>
      </c>
      <c r="D117">
        <v>222</v>
      </c>
    </row>
    <row r="118" spans="1:4" x14ac:dyDescent="0.2">
      <c r="A118" t="s">
        <v>33</v>
      </c>
      <c r="B118">
        <v>590</v>
      </c>
      <c r="C118">
        <v>600</v>
      </c>
      <c r="D118">
        <v>226</v>
      </c>
    </row>
    <row r="119" spans="1:4" x14ac:dyDescent="0.2">
      <c r="A119" t="s">
        <v>34</v>
      </c>
      <c r="B119">
        <v>598</v>
      </c>
      <c r="C119">
        <v>586</v>
      </c>
      <c r="D119">
        <v>236</v>
      </c>
    </row>
    <row r="120" spans="1:4" x14ac:dyDescent="0.2">
      <c r="A120" t="s">
        <v>35</v>
      </c>
      <c r="B120">
        <v>600</v>
      </c>
      <c r="C120">
        <v>592</v>
      </c>
      <c r="D120">
        <v>224</v>
      </c>
    </row>
    <row r="121" spans="1:4" x14ac:dyDescent="0.2">
      <c r="A121" t="s">
        <v>33</v>
      </c>
      <c r="B121">
        <v>423</v>
      </c>
      <c r="C121">
        <v>597</v>
      </c>
      <c r="D121">
        <v>396</v>
      </c>
    </row>
    <row r="122" spans="1:4" x14ac:dyDescent="0.2">
      <c r="A122" t="s">
        <v>34</v>
      </c>
      <c r="B122">
        <v>600</v>
      </c>
      <c r="C122">
        <v>598</v>
      </c>
      <c r="D122">
        <v>218</v>
      </c>
    </row>
    <row r="123" spans="1:4" x14ac:dyDescent="0.2">
      <c r="A123" t="s">
        <v>35</v>
      </c>
      <c r="B123">
        <v>592</v>
      </c>
      <c r="C123">
        <v>590</v>
      </c>
      <c r="D123">
        <v>238</v>
      </c>
    </row>
    <row r="124" spans="1:4" x14ac:dyDescent="0.2">
      <c r="A124" t="s">
        <v>33</v>
      </c>
      <c r="B124">
        <v>598</v>
      </c>
      <c r="C124">
        <v>600</v>
      </c>
      <c r="D124">
        <v>218</v>
      </c>
    </row>
    <row r="125" spans="1:4" x14ac:dyDescent="0.2">
      <c r="A125" t="s">
        <v>34</v>
      </c>
      <c r="B125">
        <v>600</v>
      </c>
      <c r="C125">
        <v>596</v>
      </c>
      <c r="D125">
        <v>224</v>
      </c>
    </row>
    <row r="126" spans="1:4" x14ac:dyDescent="0.2">
      <c r="A126" t="s">
        <v>35</v>
      </c>
      <c r="B126">
        <v>600</v>
      </c>
      <c r="C126">
        <v>592</v>
      </c>
      <c r="D126">
        <v>224</v>
      </c>
    </row>
    <row r="127" spans="1:4" x14ac:dyDescent="0.2">
      <c r="A127" t="s">
        <v>33</v>
      </c>
      <c r="B127">
        <v>600</v>
      </c>
      <c r="C127">
        <v>592</v>
      </c>
      <c r="D127">
        <v>228</v>
      </c>
    </row>
    <row r="128" spans="1:4" x14ac:dyDescent="0.2">
      <c r="A128" t="s">
        <v>34</v>
      </c>
      <c r="B128">
        <v>600</v>
      </c>
      <c r="C128">
        <v>596</v>
      </c>
      <c r="D128">
        <v>220</v>
      </c>
    </row>
    <row r="129" spans="1:4" x14ac:dyDescent="0.2">
      <c r="A129" t="s">
        <v>35</v>
      </c>
      <c r="B129">
        <v>600</v>
      </c>
      <c r="C129">
        <v>599</v>
      </c>
      <c r="D129">
        <v>217</v>
      </c>
    </row>
    <row r="130" spans="1:4" x14ac:dyDescent="0.2">
      <c r="A130" t="s">
        <v>33</v>
      </c>
      <c r="B130">
        <v>594</v>
      </c>
      <c r="C130">
        <v>596</v>
      </c>
      <c r="D130">
        <v>226</v>
      </c>
    </row>
    <row r="131" spans="1:4" x14ac:dyDescent="0.2">
      <c r="A131" t="s">
        <v>34</v>
      </c>
      <c r="B131">
        <v>594</v>
      </c>
      <c r="C131">
        <v>600</v>
      </c>
      <c r="D131">
        <v>226</v>
      </c>
    </row>
    <row r="132" spans="1:4" x14ac:dyDescent="0.2">
      <c r="A132" t="s">
        <v>35</v>
      </c>
      <c r="B132">
        <v>600</v>
      </c>
      <c r="C132">
        <v>600</v>
      </c>
      <c r="D132">
        <v>216</v>
      </c>
    </row>
    <row r="133" spans="1:4" x14ac:dyDescent="0.2">
      <c r="A133" t="s">
        <v>33</v>
      </c>
      <c r="B133">
        <v>596</v>
      </c>
      <c r="C133">
        <v>598</v>
      </c>
      <c r="D133">
        <v>222</v>
      </c>
    </row>
    <row r="134" spans="1:4" x14ac:dyDescent="0.2">
      <c r="A134" t="s">
        <v>34</v>
      </c>
      <c r="B134">
        <v>592</v>
      </c>
      <c r="C134">
        <v>598</v>
      </c>
      <c r="D134">
        <v>226</v>
      </c>
    </row>
    <row r="135" spans="1:4" x14ac:dyDescent="0.2">
      <c r="A135" t="s">
        <v>35</v>
      </c>
      <c r="B135">
        <v>600</v>
      </c>
      <c r="C135">
        <v>593</v>
      </c>
      <c r="D135">
        <v>227</v>
      </c>
    </row>
    <row r="136" spans="1:4" x14ac:dyDescent="0.2">
      <c r="A136" t="s">
        <v>33</v>
      </c>
      <c r="B136">
        <v>600</v>
      </c>
      <c r="C136">
        <v>596</v>
      </c>
      <c r="D136">
        <v>224</v>
      </c>
    </row>
    <row r="137" spans="1:4" x14ac:dyDescent="0.2">
      <c r="A137" t="s">
        <v>34</v>
      </c>
      <c r="B137">
        <v>598</v>
      </c>
      <c r="C137">
        <v>596</v>
      </c>
      <c r="D137">
        <v>222</v>
      </c>
    </row>
    <row r="138" spans="1:4" x14ac:dyDescent="0.2">
      <c r="A138" t="s">
        <v>35</v>
      </c>
      <c r="B138">
        <v>592</v>
      </c>
      <c r="C138">
        <v>595</v>
      </c>
      <c r="D138">
        <v>229</v>
      </c>
    </row>
    <row r="139" spans="1:4" x14ac:dyDescent="0.2">
      <c r="A139" t="s">
        <v>33</v>
      </c>
      <c r="B139">
        <v>600</v>
      </c>
      <c r="C139">
        <v>600</v>
      </c>
      <c r="D139">
        <v>216</v>
      </c>
    </row>
    <row r="140" spans="1:4" x14ac:dyDescent="0.2">
      <c r="A140" t="s">
        <v>34</v>
      </c>
      <c r="B140">
        <v>600</v>
      </c>
      <c r="C140">
        <v>600</v>
      </c>
      <c r="D140">
        <v>216</v>
      </c>
    </row>
    <row r="141" spans="1:4" x14ac:dyDescent="0.2">
      <c r="A141" t="s">
        <v>35</v>
      </c>
      <c r="B141">
        <v>592</v>
      </c>
      <c r="C141">
        <v>592</v>
      </c>
      <c r="D141">
        <v>236</v>
      </c>
    </row>
    <row r="142" spans="1:4" x14ac:dyDescent="0.2">
      <c r="A142" t="s">
        <v>33</v>
      </c>
      <c r="B142">
        <v>600</v>
      </c>
      <c r="C142">
        <v>594</v>
      </c>
      <c r="D142">
        <v>226</v>
      </c>
    </row>
    <row r="143" spans="1:4" x14ac:dyDescent="0.2">
      <c r="A143" t="s">
        <v>34</v>
      </c>
      <c r="B143">
        <v>600</v>
      </c>
      <c r="C143">
        <v>598</v>
      </c>
      <c r="D143">
        <v>218</v>
      </c>
    </row>
    <row r="144" spans="1:4" x14ac:dyDescent="0.2">
      <c r="A144" t="s">
        <v>35</v>
      </c>
      <c r="B144">
        <v>592</v>
      </c>
      <c r="C144">
        <v>580</v>
      </c>
      <c r="D144">
        <v>244</v>
      </c>
    </row>
    <row r="145" spans="1:4" x14ac:dyDescent="0.2">
      <c r="A145" t="s">
        <v>33</v>
      </c>
      <c r="B145">
        <v>598</v>
      </c>
      <c r="C145">
        <v>600</v>
      </c>
      <c r="D145">
        <v>222</v>
      </c>
    </row>
    <row r="146" spans="1:4" x14ac:dyDescent="0.2">
      <c r="A146" t="s">
        <v>34</v>
      </c>
      <c r="B146">
        <v>598</v>
      </c>
      <c r="C146">
        <v>600</v>
      </c>
      <c r="D146">
        <v>218</v>
      </c>
    </row>
    <row r="147" spans="1:4" x14ac:dyDescent="0.2">
      <c r="A147" t="s">
        <v>35</v>
      </c>
      <c r="B147">
        <v>600</v>
      </c>
      <c r="C147">
        <v>596</v>
      </c>
      <c r="D147">
        <v>220</v>
      </c>
    </row>
    <row r="148" spans="1:4" x14ac:dyDescent="0.2">
      <c r="A148" t="s">
        <v>33</v>
      </c>
      <c r="B148">
        <v>596</v>
      </c>
      <c r="C148">
        <v>600</v>
      </c>
      <c r="D148">
        <v>220</v>
      </c>
    </row>
    <row r="149" spans="1:4" x14ac:dyDescent="0.2">
      <c r="A149" t="s">
        <v>34</v>
      </c>
      <c r="B149">
        <v>600</v>
      </c>
      <c r="C149">
        <v>594</v>
      </c>
      <c r="D149">
        <v>222</v>
      </c>
    </row>
    <row r="150" spans="1:4" x14ac:dyDescent="0.2">
      <c r="A150" t="s">
        <v>35</v>
      </c>
      <c r="B150">
        <v>594</v>
      </c>
      <c r="C150">
        <v>585</v>
      </c>
      <c r="D150">
        <v>241</v>
      </c>
    </row>
    <row r="151" spans="1:4" x14ac:dyDescent="0.2">
      <c r="A151" t="s">
        <v>33</v>
      </c>
      <c r="B151">
        <v>600</v>
      </c>
      <c r="C151">
        <v>600</v>
      </c>
      <c r="D151">
        <v>216</v>
      </c>
    </row>
    <row r="152" spans="1:4" x14ac:dyDescent="0.2">
      <c r="A152" t="s">
        <v>34</v>
      </c>
      <c r="B152">
        <v>598</v>
      </c>
      <c r="C152">
        <v>600</v>
      </c>
      <c r="D152">
        <v>218</v>
      </c>
    </row>
    <row r="153" spans="1:4" x14ac:dyDescent="0.2">
      <c r="A153" t="s">
        <v>35</v>
      </c>
      <c r="B153">
        <v>600</v>
      </c>
      <c r="C153">
        <v>597</v>
      </c>
      <c r="D153">
        <v>223</v>
      </c>
    </row>
    <row r="154" spans="1:4" x14ac:dyDescent="0.2">
      <c r="A154" t="s">
        <v>33</v>
      </c>
      <c r="B154">
        <v>596</v>
      </c>
      <c r="C154">
        <v>600</v>
      </c>
      <c r="D154">
        <v>220</v>
      </c>
    </row>
    <row r="155" spans="1:4" x14ac:dyDescent="0.2">
      <c r="A155" t="s">
        <v>34</v>
      </c>
      <c r="B155">
        <v>600</v>
      </c>
      <c r="C155">
        <v>598</v>
      </c>
      <c r="D155">
        <v>222</v>
      </c>
    </row>
    <row r="156" spans="1:4" x14ac:dyDescent="0.2">
      <c r="A156" t="s">
        <v>35</v>
      </c>
      <c r="B156">
        <v>600</v>
      </c>
      <c r="C156">
        <v>596</v>
      </c>
      <c r="D156">
        <v>220</v>
      </c>
    </row>
    <row r="157" spans="1:4" x14ac:dyDescent="0.2">
      <c r="A157" t="s">
        <v>33</v>
      </c>
      <c r="B157">
        <v>596</v>
      </c>
      <c r="C157">
        <v>600</v>
      </c>
      <c r="D157">
        <v>220</v>
      </c>
    </row>
    <row r="158" spans="1:4" x14ac:dyDescent="0.2">
      <c r="A158" t="s">
        <v>34</v>
      </c>
      <c r="B158">
        <v>600</v>
      </c>
      <c r="C158">
        <v>596</v>
      </c>
      <c r="D158">
        <v>220</v>
      </c>
    </row>
    <row r="159" spans="1:4" x14ac:dyDescent="0.2">
      <c r="A159" t="s">
        <v>35</v>
      </c>
      <c r="B159">
        <v>600</v>
      </c>
      <c r="C159">
        <v>600</v>
      </c>
      <c r="D159">
        <v>220</v>
      </c>
    </row>
    <row r="160" spans="1:4" x14ac:dyDescent="0.2">
      <c r="A160" t="s">
        <v>33</v>
      </c>
      <c r="B160">
        <v>596</v>
      </c>
      <c r="C160">
        <v>598</v>
      </c>
      <c r="D160">
        <v>222</v>
      </c>
    </row>
    <row r="161" spans="1:4" x14ac:dyDescent="0.2">
      <c r="A161" t="s">
        <v>34</v>
      </c>
      <c r="B161">
        <v>600</v>
      </c>
      <c r="C161">
        <v>600</v>
      </c>
      <c r="D161">
        <v>216</v>
      </c>
    </row>
    <row r="162" spans="1:4" x14ac:dyDescent="0.2">
      <c r="A162" t="s">
        <v>35</v>
      </c>
      <c r="B162">
        <v>600</v>
      </c>
      <c r="C162">
        <v>600</v>
      </c>
      <c r="D162">
        <v>220</v>
      </c>
    </row>
    <row r="163" spans="1:4" x14ac:dyDescent="0.2">
      <c r="A163" t="s">
        <v>33</v>
      </c>
      <c r="B163">
        <v>598</v>
      </c>
      <c r="C163">
        <v>594</v>
      </c>
      <c r="D163">
        <v>224</v>
      </c>
    </row>
    <row r="164" spans="1:4" x14ac:dyDescent="0.2">
      <c r="A164" t="s">
        <v>34</v>
      </c>
      <c r="B164">
        <v>600</v>
      </c>
      <c r="C164">
        <v>600</v>
      </c>
      <c r="D164">
        <v>220</v>
      </c>
    </row>
    <row r="165" spans="1:4" x14ac:dyDescent="0.2">
      <c r="A165" t="s">
        <v>35</v>
      </c>
      <c r="B165">
        <v>592</v>
      </c>
      <c r="C165">
        <v>590</v>
      </c>
      <c r="D165">
        <v>234</v>
      </c>
    </row>
    <row r="166" spans="1:4" x14ac:dyDescent="0.2">
      <c r="A166" t="s">
        <v>33</v>
      </c>
      <c r="B166">
        <v>600</v>
      </c>
      <c r="C166">
        <v>600</v>
      </c>
      <c r="D166">
        <v>220</v>
      </c>
    </row>
    <row r="167" spans="1:4" x14ac:dyDescent="0.2">
      <c r="A167" t="s">
        <v>34</v>
      </c>
      <c r="B167">
        <v>596</v>
      </c>
      <c r="C167">
        <v>596</v>
      </c>
      <c r="D167">
        <v>224</v>
      </c>
    </row>
    <row r="168" spans="1:4" x14ac:dyDescent="0.2">
      <c r="A168" t="s">
        <v>35</v>
      </c>
      <c r="B168">
        <v>592</v>
      </c>
      <c r="C168">
        <v>596</v>
      </c>
      <c r="D168">
        <v>228</v>
      </c>
    </row>
    <row r="169" spans="1:4" x14ac:dyDescent="0.2">
      <c r="A169" t="s">
        <v>33</v>
      </c>
      <c r="B169">
        <v>600</v>
      </c>
      <c r="C169">
        <v>592</v>
      </c>
      <c r="D169">
        <v>224</v>
      </c>
    </row>
    <row r="170" spans="1:4" x14ac:dyDescent="0.2">
      <c r="A170" t="s">
        <v>34</v>
      </c>
      <c r="B170">
        <v>600</v>
      </c>
      <c r="C170">
        <v>598</v>
      </c>
      <c r="D170">
        <v>222</v>
      </c>
    </row>
    <row r="171" spans="1:4" x14ac:dyDescent="0.2">
      <c r="A171" t="s">
        <v>35</v>
      </c>
      <c r="B171">
        <v>600</v>
      </c>
      <c r="C171">
        <v>594</v>
      </c>
      <c r="D171">
        <v>222</v>
      </c>
    </row>
    <row r="172" spans="1:4" x14ac:dyDescent="0.2">
      <c r="A172" t="s">
        <v>33</v>
      </c>
      <c r="B172">
        <v>596</v>
      </c>
      <c r="C172">
        <v>596</v>
      </c>
      <c r="D172">
        <v>228</v>
      </c>
    </row>
    <row r="173" spans="1:4" x14ac:dyDescent="0.2">
      <c r="A173" t="s">
        <v>34</v>
      </c>
      <c r="B173">
        <v>596</v>
      </c>
      <c r="C173">
        <v>600</v>
      </c>
      <c r="D173">
        <v>220</v>
      </c>
    </row>
    <row r="174" spans="1:4" x14ac:dyDescent="0.2">
      <c r="A174" t="s">
        <v>35</v>
      </c>
      <c r="B174">
        <v>600</v>
      </c>
      <c r="C174">
        <v>542</v>
      </c>
      <c r="D174">
        <v>274</v>
      </c>
    </row>
    <row r="175" spans="1:4" x14ac:dyDescent="0.2">
      <c r="A175" t="s">
        <v>33</v>
      </c>
      <c r="B175">
        <v>600</v>
      </c>
      <c r="C175">
        <v>600</v>
      </c>
      <c r="D175">
        <v>216</v>
      </c>
    </row>
    <row r="176" spans="1:4" x14ac:dyDescent="0.2">
      <c r="A176" t="s">
        <v>34</v>
      </c>
      <c r="B176">
        <v>600</v>
      </c>
      <c r="C176">
        <v>598</v>
      </c>
      <c r="D176">
        <v>218</v>
      </c>
    </row>
    <row r="177" spans="1:4" x14ac:dyDescent="0.2">
      <c r="A177" t="s">
        <v>35</v>
      </c>
      <c r="B177">
        <v>600</v>
      </c>
      <c r="C177">
        <v>598</v>
      </c>
      <c r="D177">
        <v>222</v>
      </c>
    </row>
    <row r="178" spans="1:4" x14ac:dyDescent="0.2">
      <c r="A178" t="s">
        <v>33</v>
      </c>
      <c r="B178">
        <v>600</v>
      </c>
      <c r="C178">
        <v>596</v>
      </c>
      <c r="D178">
        <v>224</v>
      </c>
    </row>
    <row r="179" spans="1:4" x14ac:dyDescent="0.2">
      <c r="A179" t="s">
        <v>34</v>
      </c>
      <c r="B179">
        <v>598</v>
      </c>
      <c r="C179">
        <v>598</v>
      </c>
      <c r="D179">
        <v>220</v>
      </c>
    </row>
    <row r="180" spans="1:4" x14ac:dyDescent="0.2">
      <c r="A180" t="s">
        <v>35</v>
      </c>
      <c r="B180">
        <v>598</v>
      </c>
      <c r="C180">
        <v>600</v>
      </c>
      <c r="D180">
        <v>218</v>
      </c>
    </row>
    <row r="181" spans="1:4" x14ac:dyDescent="0.2">
      <c r="A181" t="s">
        <v>33</v>
      </c>
      <c r="B181">
        <v>590</v>
      </c>
      <c r="C181">
        <v>598</v>
      </c>
      <c r="D181">
        <v>232</v>
      </c>
    </row>
    <row r="182" spans="1:4" x14ac:dyDescent="0.2">
      <c r="A182" t="s">
        <v>34</v>
      </c>
      <c r="B182">
        <v>600</v>
      </c>
      <c r="C182">
        <v>594</v>
      </c>
      <c r="D182">
        <v>222</v>
      </c>
    </row>
    <row r="183" spans="1:4" x14ac:dyDescent="0.2">
      <c r="A183" t="s">
        <v>35</v>
      </c>
      <c r="B183">
        <v>592</v>
      </c>
      <c r="C183">
        <v>600</v>
      </c>
      <c r="D183">
        <v>224</v>
      </c>
    </row>
    <row r="184" spans="1:4" x14ac:dyDescent="0.2">
      <c r="A184" t="s">
        <v>33</v>
      </c>
      <c r="B184">
        <v>596</v>
      </c>
      <c r="C184">
        <v>600</v>
      </c>
      <c r="D184">
        <v>224</v>
      </c>
    </row>
    <row r="185" spans="1:4" x14ac:dyDescent="0.2">
      <c r="A185" t="s">
        <v>34</v>
      </c>
      <c r="B185">
        <v>594</v>
      </c>
      <c r="C185">
        <v>586</v>
      </c>
      <c r="D185">
        <v>236</v>
      </c>
    </row>
    <row r="186" spans="1:4" x14ac:dyDescent="0.2">
      <c r="A186" t="s">
        <v>35</v>
      </c>
      <c r="B186">
        <v>600</v>
      </c>
      <c r="C186">
        <v>600</v>
      </c>
      <c r="D186">
        <v>216</v>
      </c>
    </row>
    <row r="187" spans="1:4" x14ac:dyDescent="0.2">
      <c r="A187" t="s">
        <v>33</v>
      </c>
      <c r="B187">
        <v>598</v>
      </c>
      <c r="C187">
        <v>600</v>
      </c>
      <c r="D187">
        <v>218</v>
      </c>
    </row>
    <row r="188" spans="1:4" x14ac:dyDescent="0.2">
      <c r="A188" t="s">
        <v>34</v>
      </c>
      <c r="B188">
        <v>600</v>
      </c>
      <c r="C188">
        <v>598</v>
      </c>
      <c r="D188">
        <v>222</v>
      </c>
    </row>
    <row r="189" spans="1:4" x14ac:dyDescent="0.2">
      <c r="A189" t="s">
        <v>35</v>
      </c>
      <c r="B189">
        <v>592</v>
      </c>
      <c r="C189">
        <v>551</v>
      </c>
      <c r="D189">
        <v>273</v>
      </c>
    </row>
    <row r="190" spans="1:4" x14ac:dyDescent="0.2">
      <c r="A190" t="s">
        <v>33</v>
      </c>
      <c r="B190">
        <v>596</v>
      </c>
      <c r="C190">
        <v>592</v>
      </c>
      <c r="D190">
        <v>232</v>
      </c>
    </row>
    <row r="191" spans="1:4" x14ac:dyDescent="0.2">
      <c r="A191" t="s">
        <v>34</v>
      </c>
      <c r="B191">
        <v>600</v>
      </c>
      <c r="C191">
        <v>600</v>
      </c>
      <c r="D191">
        <v>216</v>
      </c>
    </row>
    <row r="192" spans="1:4" x14ac:dyDescent="0.2">
      <c r="A192" t="s">
        <v>35</v>
      </c>
      <c r="B192">
        <v>600</v>
      </c>
      <c r="C192">
        <v>592</v>
      </c>
      <c r="D192">
        <v>224</v>
      </c>
    </row>
    <row r="193" spans="1:4" x14ac:dyDescent="0.2">
      <c r="A193" t="s">
        <v>33</v>
      </c>
      <c r="B193">
        <v>596</v>
      </c>
      <c r="C193">
        <v>600</v>
      </c>
      <c r="D193">
        <v>220</v>
      </c>
    </row>
    <row r="194" spans="1:4" x14ac:dyDescent="0.2">
      <c r="A194" t="s">
        <v>34</v>
      </c>
      <c r="B194">
        <v>598</v>
      </c>
      <c r="C194">
        <v>584</v>
      </c>
      <c r="D194">
        <v>238</v>
      </c>
    </row>
    <row r="195" spans="1:4" x14ac:dyDescent="0.2">
      <c r="A195" t="s">
        <v>35</v>
      </c>
      <c r="B195">
        <v>600</v>
      </c>
      <c r="C195">
        <v>594</v>
      </c>
      <c r="D195">
        <v>222</v>
      </c>
    </row>
    <row r="196" spans="1:4" x14ac:dyDescent="0.2">
      <c r="A196" t="s">
        <v>33</v>
      </c>
      <c r="B196">
        <v>594</v>
      </c>
      <c r="C196">
        <v>598</v>
      </c>
      <c r="D196">
        <v>224</v>
      </c>
    </row>
    <row r="197" spans="1:4" x14ac:dyDescent="0.2">
      <c r="A197" t="s">
        <v>34</v>
      </c>
      <c r="B197">
        <v>590</v>
      </c>
      <c r="C197">
        <v>594</v>
      </c>
      <c r="D197">
        <v>236</v>
      </c>
    </row>
    <row r="198" spans="1:4" x14ac:dyDescent="0.2">
      <c r="A198" t="s">
        <v>35</v>
      </c>
      <c r="B198">
        <v>600</v>
      </c>
      <c r="C198">
        <v>596</v>
      </c>
      <c r="D198">
        <v>220</v>
      </c>
    </row>
    <row r="199" spans="1:4" x14ac:dyDescent="0.2">
      <c r="A199" t="s">
        <v>33</v>
      </c>
      <c r="B199">
        <v>600</v>
      </c>
      <c r="C199">
        <v>592</v>
      </c>
      <c r="D199">
        <v>224</v>
      </c>
    </row>
    <row r="200" spans="1:4" x14ac:dyDescent="0.2">
      <c r="A200" t="s">
        <v>34</v>
      </c>
      <c r="B200">
        <v>600</v>
      </c>
      <c r="C200">
        <v>596</v>
      </c>
      <c r="D200">
        <v>220</v>
      </c>
    </row>
    <row r="201" spans="1:4" x14ac:dyDescent="0.2">
      <c r="A201" t="s">
        <v>35</v>
      </c>
      <c r="B201">
        <v>600</v>
      </c>
      <c r="C201">
        <v>600</v>
      </c>
      <c r="D201">
        <v>220</v>
      </c>
    </row>
    <row r="202" spans="1:4" x14ac:dyDescent="0.2">
      <c r="A202" t="s">
        <v>33</v>
      </c>
      <c r="B202">
        <v>600</v>
      </c>
      <c r="C202">
        <v>594</v>
      </c>
      <c r="D202">
        <v>226</v>
      </c>
    </row>
    <row r="203" spans="1:4" x14ac:dyDescent="0.2">
      <c r="A203" t="s">
        <v>34</v>
      </c>
      <c r="B203">
        <v>600</v>
      </c>
      <c r="C203">
        <v>600</v>
      </c>
      <c r="D203">
        <v>216</v>
      </c>
    </row>
    <row r="204" spans="1:4" x14ac:dyDescent="0.2">
      <c r="A204" t="s">
        <v>35</v>
      </c>
      <c r="B204">
        <v>592</v>
      </c>
      <c r="C204">
        <v>571</v>
      </c>
      <c r="D204">
        <v>253</v>
      </c>
    </row>
    <row r="205" spans="1:4" x14ac:dyDescent="0.2">
      <c r="A205" t="s">
        <v>33</v>
      </c>
      <c r="B205">
        <v>600</v>
      </c>
      <c r="C205">
        <v>596</v>
      </c>
      <c r="D205">
        <v>224</v>
      </c>
    </row>
    <row r="206" spans="1:4" x14ac:dyDescent="0.2">
      <c r="A206" t="s">
        <v>34</v>
      </c>
      <c r="B206">
        <v>598</v>
      </c>
      <c r="C206">
        <v>598</v>
      </c>
      <c r="D206">
        <v>220</v>
      </c>
    </row>
    <row r="207" spans="1:4" x14ac:dyDescent="0.2">
      <c r="A207" t="s">
        <v>35</v>
      </c>
      <c r="B207">
        <v>600</v>
      </c>
      <c r="C207">
        <v>578</v>
      </c>
      <c r="D207">
        <v>238</v>
      </c>
    </row>
    <row r="208" spans="1:4" x14ac:dyDescent="0.2">
      <c r="A208" t="s">
        <v>33</v>
      </c>
      <c r="B208">
        <v>598</v>
      </c>
      <c r="C208">
        <v>592</v>
      </c>
      <c r="D208">
        <v>230</v>
      </c>
    </row>
    <row r="209" spans="1:4" x14ac:dyDescent="0.2">
      <c r="A209" t="s">
        <v>34</v>
      </c>
      <c r="B209">
        <v>598</v>
      </c>
      <c r="C209">
        <v>596</v>
      </c>
      <c r="D209">
        <v>222</v>
      </c>
    </row>
    <row r="210" spans="1:4" x14ac:dyDescent="0.2">
      <c r="A210" t="s">
        <v>35</v>
      </c>
      <c r="B210">
        <v>600</v>
      </c>
      <c r="C210">
        <v>599</v>
      </c>
      <c r="D210">
        <v>217</v>
      </c>
    </row>
    <row r="211" spans="1:4" x14ac:dyDescent="0.2">
      <c r="A211" t="s">
        <v>33</v>
      </c>
      <c r="B211">
        <v>600</v>
      </c>
      <c r="C211">
        <v>600</v>
      </c>
      <c r="D211">
        <v>216</v>
      </c>
    </row>
    <row r="212" spans="1:4" x14ac:dyDescent="0.2">
      <c r="A212" t="s">
        <v>34</v>
      </c>
      <c r="B212">
        <v>600</v>
      </c>
      <c r="C212">
        <v>588</v>
      </c>
      <c r="D212">
        <v>228</v>
      </c>
    </row>
    <row r="213" spans="1:4" x14ac:dyDescent="0.2">
      <c r="A213" t="s">
        <v>35</v>
      </c>
      <c r="B213">
        <v>596</v>
      </c>
      <c r="C213">
        <v>597</v>
      </c>
      <c r="D213">
        <v>227</v>
      </c>
    </row>
    <row r="214" spans="1:4" x14ac:dyDescent="0.2">
      <c r="A214" t="s">
        <v>33</v>
      </c>
      <c r="B214">
        <v>598</v>
      </c>
      <c r="C214">
        <v>594</v>
      </c>
      <c r="D214">
        <v>224</v>
      </c>
    </row>
    <row r="215" spans="1:4" x14ac:dyDescent="0.2">
      <c r="A215" t="s">
        <v>34</v>
      </c>
      <c r="B215">
        <v>594</v>
      </c>
      <c r="C215">
        <v>600</v>
      </c>
      <c r="D215">
        <v>226</v>
      </c>
    </row>
    <row r="216" spans="1:4" x14ac:dyDescent="0.2">
      <c r="A216" t="s">
        <v>35</v>
      </c>
      <c r="B216">
        <v>596</v>
      </c>
      <c r="C216">
        <v>600</v>
      </c>
      <c r="D216">
        <v>220</v>
      </c>
    </row>
    <row r="217" spans="1:4" x14ac:dyDescent="0.2">
      <c r="A217" t="s">
        <v>33</v>
      </c>
      <c r="B217">
        <v>600</v>
      </c>
      <c r="C217">
        <v>598</v>
      </c>
      <c r="D217">
        <v>222</v>
      </c>
    </row>
    <row r="218" spans="1:4" x14ac:dyDescent="0.2">
      <c r="A218" t="s">
        <v>34</v>
      </c>
      <c r="B218">
        <v>600</v>
      </c>
      <c r="C218">
        <v>600</v>
      </c>
      <c r="D218">
        <v>216</v>
      </c>
    </row>
    <row r="219" spans="1:4" x14ac:dyDescent="0.2">
      <c r="A219" t="s">
        <v>35</v>
      </c>
      <c r="B219">
        <v>600</v>
      </c>
      <c r="C219">
        <v>600</v>
      </c>
      <c r="D219">
        <v>216</v>
      </c>
    </row>
    <row r="220" spans="1:4" x14ac:dyDescent="0.2">
      <c r="A220" t="s">
        <v>33</v>
      </c>
      <c r="B220">
        <v>600</v>
      </c>
      <c r="C220">
        <v>596</v>
      </c>
      <c r="D220">
        <v>220</v>
      </c>
    </row>
    <row r="221" spans="1:4" x14ac:dyDescent="0.2">
      <c r="A221" t="s">
        <v>34</v>
      </c>
      <c r="B221">
        <v>598</v>
      </c>
      <c r="C221">
        <v>600</v>
      </c>
      <c r="D221">
        <v>218</v>
      </c>
    </row>
    <row r="222" spans="1:4" x14ac:dyDescent="0.2">
      <c r="A222" t="s">
        <v>35</v>
      </c>
      <c r="B222">
        <v>598</v>
      </c>
      <c r="C222">
        <v>600</v>
      </c>
      <c r="D222">
        <v>222</v>
      </c>
    </row>
    <row r="223" spans="1:4" x14ac:dyDescent="0.2">
      <c r="A223" t="s">
        <v>33</v>
      </c>
      <c r="B223">
        <v>600</v>
      </c>
      <c r="C223">
        <v>598</v>
      </c>
      <c r="D223">
        <v>218</v>
      </c>
    </row>
    <row r="224" spans="1:4" x14ac:dyDescent="0.2">
      <c r="A224" t="s">
        <v>34</v>
      </c>
      <c r="B224">
        <v>594</v>
      </c>
      <c r="C224">
        <v>596</v>
      </c>
      <c r="D224">
        <v>230</v>
      </c>
    </row>
    <row r="225" spans="1:4" x14ac:dyDescent="0.2">
      <c r="A225" t="s">
        <v>35</v>
      </c>
      <c r="B225">
        <v>600</v>
      </c>
      <c r="C225">
        <v>547</v>
      </c>
      <c r="D225">
        <v>269</v>
      </c>
    </row>
    <row r="226" spans="1:4" x14ac:dyDescent="0.2">
      <c r="A226" t="s">
        <v>33</v>
      </c>
      <c r="B226">
        <v>596</v>
      </c>
      <c r="C226">
        <v>598</v>
      </c>
      <c r="D226">
        <v>222</v>
      </c>
    </row>
    <row r="227" spans="1:4" x14ac:dyDescent="0.2">
      <c r="A227" t="s">
        <v>34</v>
      </c>
      <c r="B227">
        <v>600</v>
      </c>
      <c r="C227">
        <v>594</v>
      </c>
      <c r="D227">
        <v>226</v>
      </c>
    </row>
    <row r="228" spans="1:4" x14ac:dyDescent="0.2">
      <c r="A228" t="s">
        <v>35</v>
      </c>
      <c r="B228">
        <v>600</v>
      </c>
      <c r="C228">
        <v>596</v>
      </c>
      <c r="D228">
        <v>220</v>
      </c>
    </row>
    <row r="229" spans="1:4" x14ac:dyDescent="0.2">
      <c r="A229" t="s">
        <v>33</v>
      </c>
      <c r="B229">
        <v>592</v>
      </c>
      <c r="C229">
        <v>600</v>
      </c>
      <c r="D229">
        <v>224</v>
      </c>
    </row>
    <row r="230" spans="1:4" x14ac:dyDescent="0.2">
      <c r="A230" t="s">
        <v>34</v>
      </c>
      <c r="B230">
        <v>590</v>
      </c>
      <c r="C230">
        <v>600</v>
      </c>
      <c r="D230">
        <v>226</v>
      </c>
    </row>
    <row r="231" spans="1:4" x14ac:dyDescent="0.2">
      <c r="A231" t="s">
        <v>35</v>
      </c>
      <c r="B231">
        <v>600</v>
      </c>
      <c r="C231">
        <v>598</v>
      </c>
      <c r="D231">
        <v>222</v>
      </c>
    </row>
    <row r="232" spans="1:4" x14ac:dyDescent="0.2">
      <c r="A232" t="s">
        <v>33</v>
      </c>
      <c r="B232">
        <v>598</v>
      </c>
      <c r="C232">
        <v>596</v>
      </c>
      <c r="D232">
        <v>222</v>
      </c>
    </row>
    <row r="233" spans="1:4" x14ac:dyDescent="0.2">
      <c r="A233" t="s">
        <v>34</v>
      </c>
      <c r="B233">
        <v>600</v>
      </c>
      <c r="C233">
        <v>600</v>
      </c>
      <c r="D233">
        <v>216</v>
      </c>
    </row>
    <row r="234" spans="1:4" x14ac:dyDescent="0.2">
      <c r="A234" t="s">
        <v>35</v>
      </c>
      <c r="B234">
        <v>590</v>
      </c>
      <c r="C234">
        <v>597</v>
      </c>
      <c r="D234">
        <v>233</v>
      </c>
    </row>
    <row r="235" spans="1:4" x14ac:dyDescent="0.2">
      <c r="A235" t="s">
        <v>33</v>
      </c>
      <c r="B235">
        <v>600</v>
      </c>
      <c r="C235">
        <v>590</v>
      </c>
      <c r="D235">
        <v>226</v>
      </c>
    </row>
    <row r="236" spans="1:4" x14ac:dyDescent="0.2">
      <c r="A236" t="s">
        <v>34</v>
      </c>
      <c r="B236">
        <v>598</v>
      </c>
      <c r="C236">
        <v>600</v>
      </c>
      <c r="D236">
        <v>218</v>
      </c>
    </row>
    <row r="237" spans="1:4" x14ac:dyDescent="0.2">
      <c r="A237" t="s">
        <v>35</v>
      </c>
      <c r="B237">
        <v>594</v>
      </c>
      <c r="C237">
        <v>600</v>
      </c>
      <c r="D237">
        <v>226</v>
      </c>
    </row>
    <row r="238" spans="1:4" x14ac:dyDescent="0.2">
      <c r="A238" t="s">
        <v>33</v>
      </c>
      <c r="B238">
        <v>596</v>
      </c>
      <c r="C238">
        <v>594</v>
      </c>
      <c r="D238">
        <v>226</v>
      </c>
    </row>
    <row r="239" spans="1:4" x14ac:dyDescent="0.2">
      <c r="A239" t="s">
        <v>34</v>
      </c>
      <c r="B239">
        <v>596</v>
      </c>
      <c r="C239">
        <v>578</v>
      </c>
      <c r="D239">
        <v>242</v>
      </c>
    </row>
    <row r="240" spans="1:4" x14ac:dyDescent="0.2">
      <c r="A240" t="s">
        <v>35</v>
      </c>
      <c r="B240">
        <v>594</v>
      </c>
      <c r="C240">
        <v>579</v>
      </c>
      <c r="D240">
        <v>247</v>
      </c>
    </row>
    <row r="241" spans="1:4" x14ac:dyDescent="0.2">
      <c r="A241" t="s">
        <v>33</v>
      </c>
      <c r="B241">
        <v>600</v>
      </c>
      <c r="C241">
        <v>600</v>
      </c>
      <c r="D241">
        <v>216</v>
      </c>
    </row>
    <row r="242" spans="1:4" x14ac:dyDescent="0.2">
      <c r="A242" t="s">
        <v>34</v>
      </c>
      <c r="B242">
        <v>600</v>
      </c>
      <c r="C242">
        <v>600</v>
      </c>
      <c r="D242">
        <v>216</v>
      </c>
    </row>
    <row r="243" spans="1:4" x14ac:dyDescent="0.2">
      <c r="A243" t="s">
        <v>35</v>
      </c>
      <c r="B243">
        <v>600</v>
      </c>
      <c r="C243">
        <v>600</v>
      </c>
      <c r="D243">
        <v>220</v>
      </c>
    </row>
    <row r="244" spans="1:4" x14ac:dyDescent="0.2">
      <c r="A244" t="s">
        <v>33</v>
      </c>
      <c r="B244">
        <v>596</v>
      </c>
      <c r="C244">
        <v>598</v>
      </c>
      <c r="D244">
        <v>226</v>
      </c>
    </row>
    <row r="245" spans="1:4" x14ac:dyDescent="0.2">
      <c r="A245" t="s">
        <v>34</v>
      </c>
      <c r="B245">
        <v>594</v>
      </c>
      <c r="C245">
        <v>600</v>
      </c>
      <c r="D245">
        <v>222</v>
      </c>
    </row>
    <row r="246" spans="1:4" x14ac:dyDescent="0.2">
      <c r="A246" t="s">
        <v>35</v>
      </c>
      <c r="B246">
        <v>600</v>
      </c>
      <c r="C246">
        <v>564</v>
      </c>
      <c r="D246">
        <v>252</v>
      </c>
    </row>
    <row r="247" spans="1:4" x14ac:dyDescent="0.2">
      <c r="A247" t="s">
        <v>33</v>
      </c>
      <c r="B247">
        <v>590</v>
      </c>
      <c r="C247">
        <v>596</v>
      </c>
      <c r="D247">
        <v>234</v>
      </c>
    </row>
    <row r="248" spans="1:4" x14ac:dyDescent="0.2">
      <c r="A248" t="s">
        <v>34</v>
      </c>
      <c r="B248">
        <v>596</v>
      </c>
      <c r="C248">
        <v>600</v>
      </c>
      <c r="D248">
        <v>220</v>
      </c>
    </row>
    <row r="249" spans="1:4" x14ac:dyDescent="0.2">
      <c r="A249" t="s">
        <v>35</v>
      </c>
      <c r="B249">
        <v>600</v>
      </c>
      <c r="C249">
        <v>600</v>
      </c>
      <c r="D249">
        <v>216</v>
      </c>
    </row>
    <row r="250" spans="1:4" x14ac:dyDescent="0.2">
      <c r="A250" t="s">
        <v>33</v>
      </c>
      <c r="B250">
        <v>598</v>
      </c>
      <c r="C250">
        <v>598</v>
      </c>
      <c r="D250">
        <v>220</v>
      </c>
    </row>
    <row r="251" spans="1:4" x14ac:dyDescent="0.2">
      <c r="A251" t="s">
        <v>34</v>
      </c>
      <c r="B251">
        <v>600</v>
      </c>
      <c r="C251">
        <v>598</v>
      </c>
      <c r="D251">
        <v>222</v>
      </c>
    </row>
    <row r="252" spans="1:4" x14ac:dyDescent="0.2">
      <c r="A252" t="s">
        <v>35</v>
      </c>
      <c r="B252">
        <v>592</v>
      </c>
      <c r="C252">
        <v>600</v>
      </c>
      <c r="D252">
        <v>224</v>
      </c>
    </row>
    <row r="253" spans="1:4" x14ac:dyDescent="0.2">
      <c r="A253" t="s">
        <v>33</v>
      </c>
      <c r="B253">
        <v>598</v>
      </c>
      <c r="C253">
        <v>600</v>
      </c>
      <c r="D253">
        <v>218</v>
      </c>
    </row>
    <row r="254" spans="1:4" x14ac:dyDescent="0.2">
      <c r="A254" t="s">
        <v>34</v>
      </c>
      <c r="B254">
        <v>598</v>
      </c>
      <c r="C254">
        <v>600</v>
      </c>
      <c r="D254">
        <v>218</v>
      </c>
    </row>
    <row r="255" spans="1:4" x14ac:dyDescent="0.2">
      <c r="A255" t="s">
        <v>35</v>
      </c>
      <c r="B255">
        <v>600</v>
      </c>
      <c r="C255">
        <v>600</v>
      </c>
      <c r="D255">
        <v>220</v>
      </c>
    </row>
    <row r="256" spans="1:4" x14ac:dyDescent="0.2">
      <c r="A256" t="s">
        <v>33</v>
      </c>
      <c r="B256">
        <v>598</v>
      </c>
      <c r="C256">
        <v>596</v>
      </c>
      <c r="D256">
        <v>222</v>
      </c>
    </row>
    <row r="257" spans="1:4" x14ac:dyDescent="0.2">
      <c r="A257" t="s">
        <v>34</v>
      </c>
      <c r="B257">
        <v>600</v>
      </c>
      <c r="C257">
        <v>596</v>
      </c>
      <c r="D257">
        <v>224</v>
      </c>
    </row>
    <row r="258" spans="1:4" x14ac:dyDescent="0.2">
      <c r="A258" t="s">
        <v>35</v>
      </c>
      <c r="B258">
        <v>600</v>
      </c>
      <c r="C258">
        <v>600</v>
      </c>
      <c r="D258">
        <v>216</v>
      </c>
    </row>
    <row r="259" spans="1:4" x14ac:dyDescent="0.2">
      <c r="A259" t="s">
        <v>33</v>
      </c>
      <c r="B259">
        <v>600</v>
      </c>
      <c r="C259">
        <v>596</v>
      </c>
      <c r="D259">
        <v>220</v>
      </c>
    </row>
    <row r="260" spans="1:4" x14ac:dyDescent="0.2">
      <c r="A260" t="s">
        <v>34</v>
      </c>
      <c r="B260">
        <v>600</v>
      </c>
      <c r="C260">
        <v>598</v>
      </c>
      <c r="D260">
        <v>222</v>
      </c>
    </row>
    <row r="261" spans="1:4" x14ac:dyDescent="0.2">
      <c r="A261" t="s">
        <v>35</v>
      </c>
      <c r="B261">
        <v>592</v>
      </c>
      <c r="C261">
        <v>600</v>
      </c>
      <c r="D261">
        <v>224</v>
      </c>
    </row>
    <row r="262" spans="1:4" x14ac:dyDescent="0.2">
      <c r="A262" t="s">
        <v>33</v>
      </c>
      <c r="B262">
        <v>598</v>
      </c>
      <c r="C262">
        <v>600</v>
      </c>
      <c r="D262">
        <v>218</v>
      </c>
    </row>
    <row r="263" spans="1:4" x14ac:dyDescent="0.2">
      <c r="A263" t="s">
        <v>34</v>
      </c>
      <c r="B263">
        <v>600</v>
      </c>
      <c r="C263">
        <v>596</v>
      </c>
      <c r="D263">
        <v>224</v>
      </c>
    </row>
    <row r="264" spans="1:4" x14ac:dyDescent="0.2">
      <c r="A264" t="s">
        <v>35</v>
      </c>
      <c r="B264">
        <v>592</v>
      </c>
      <c r="C264">
        <v>531</v>
      </c>
      <c r="D264">
        <v>293</v>
      </c>
    </row>
    <row r="265" spans="1:4" x14ac:dyDescent="0.2">
      <c r="A265" t="s">
        <v>33</v>
      </c>
      <c r="B265">
        <v>600</v>
      </c>
      <c r="C265">
        <v>598</v>
      </c>
      <c r="D265">
        <v>218</v>
      </c>
    </row>
    <row r="266" spans="1:4" x14ac:dyDescent="0.2">
      <c r="A266" t="s">
        <v>34</v>
      </c>
      <c r="B266">
        <v>598</v>
      </c>
      <c r="C266">
        <v>600</v>
      </c>
      <c r="D266">
        <v>222</v>
      </c>
    </row>
    <row r="267" spans="1:4" x14ac:dyDescent="0.2">
      <c r="A267" t="s">
        <v>35</v>
      </c>
      <c r="B267">
        <v>592</v>
      </c>
      <c r="C267">
        <v>599</v>
      </c>
      <c r="D267">
        <v>225</v>
      </c>
    </row>
    <row r="268" spans="1:4" x14ac:dyDescent="0.2">
      <c r="A268" t="s">
        <v>33</v>
      </c>
      <c r="B268">
        <v>598</v>
      </c>
      <c r="C268">
        <v>596</v>
      </c>
      <c r="D268">
        <v>226</v>
      </c>
    </row>
    <row r="269" spans="1:4" x14ac:dyDescent="0.2">
      <c r="A269" t="s">
        <v>34</v>
      </c>
      <c r="B269">
        <v>600</v>
      </c>
      <c r="C269">
        <v>596</v>
      </c>
      <c r="D269">
        <v>220</v>
      </c>
    </row>
    <row r="270" spans="1:4" x14ac:dyDescent="0.2">
      <c r="A270" t="s">
        <v>35</v>
      </c>
      <c r="B270">
        <v>596</v>
      </c>
      <c r="C270">
        <v>590</v>
      </c>
      <c r="D270">
        <v>230</v>
      </c>
    </row>
    <row r="271" spans="1:4" x14ac:dyDescent="0.2">
      <c r="A271" t="s">
        <v>33</v>
      </c>
      <c r="B271">
        <v>598</v>
      </c>
      <c r="C271">
        <v>596</v>
      </c>
      <c r="D271">
        <v>222</v>
      </c>
    </row>
    <row r="272" spans="1:4" x14ac:dyDescent="0.2">
      <c r="A272" t="s">
        <v>34</v>
      </c>
      <c r="B272">
        <v>594</v>
      </c>
      <c r="C272">
        <v>600</v>
      </c>
      <c r="D272">
        <v>222</v>
      </c>
    </row>
    <row r="273" spans="1:4" x14ac:dyDescent="0.2">
      <c r="A273" t="s">
        <v>35</v>
      </c>
      <c r="B273">
        <v>592</v>
      </c>
      <c r="C273">
        <v>592</v>
      </c>
      <c r="D273">
        <v>236</v>
      </c>
    </row>
    <row r="274" spans="1:4" x14ac:dyDescent="0.2">
      <c r="A274" t="s">
        <v>33</v>
      </c>
      <c r="B274">
        <v>594</v>
      </c>
      <c r="C274">
        <v>600</v>
      </c>
      <c r="D274">
        <v>226</v>
      </c>
    </row>
    <row r="275" spans="1:4" x14ac:dyDescent="0.2">
      <c r="A275" t="s">
        <v>34</v>
      </c>
      <c r="B275">
        <v>600</v>
      </c>
      <c r="C275">
        <v>598</v>
      </c>
      <c r="D275">
        <v>218</v>
      </c>
    </row>
    <row r="276" spans="1:4" x14ac:dyDescent="0.2">
      <c r="A276" t="s">
        <v>35</v>
      </c>
      <c r="B276">
        <v>600</v>
      </c>
      <c r="C276">
        <v>592</v>
      </c>
      <c r="D276">
        <v>224</v>
      </c>
    </row>
    <row r="277" spans="1:4" x14ac:dyDescent="0.2">
      <c r="A277" t="s">
        <v>33</v>
      </c>
      <c r="B277">
        <v>598</v>
      </c>
      <c r="C277">
        <v>600</v>
      </c>
      <c r="D277">
        <v>218</v>
      </c>
    </row>
    <row r="278" spans="1:4" x14ac:dyDescent="0.2">
      <c r="A278" t="s">
        <v>34</v>
      </c>
      <c r="B278">
        <v>600</v>
      </c>
      <c r="C278">
        <v>600</v>
      </c>
      <c r="D278">
        <v>220</v>
      </c>
    </row>
    <row r="279" spans="1:4" x14ac:dyDescent="0.2">
      <c r="A279" t="s">
        <v>35</v>
      </c>
      <c r="B279">
        <v>600</v>
      </c>
      <c r="C279">
        <v>600</v>
      </c>
      <c r="D279">
        <v>216</v>
      </c>
    </row>
    <row r="280" spans="1:4" x14ac:dyDescent="0.2">
      <c r="A280" t="s">
        <v>33</v>
      </c>
      <c r="B280">
        <v>596</v>
      </c>
      <c r="C280">
        <v>600</v>
      </c>
      <c r="D280">
        <v>220</v>
      </c>
    </row>
    <row r="281" spans="1:4" x14ac:dyDescent="0.2">
      <c r="A281" t="s">
        <v>34</v>
      </c>
      <c r="B281">
        <v>600</v>
      </c>
      <c r="C281">
        <v>600</v>
      </c>
      <c r="D281">
        <v>216</v>
      </c>
    </row>
    <row r="282" spans="1:4" x14ac:dyDescent="0.2">
      <c r="A282" t="s">
        <v>35</v>
      </c>
      <c r="B282">
        <v>600</v>
      </c>
      <c r="C282">
        <v>583</v>
      </c>
      <c r="D282">
        <v>237</v>
      </c>
    </row>
    <row r="283" spans="1:4" x14ac:dyDescent="0.2">
      <c r="A283" t="s">
        <v>33</v>
      </c>
      <c r="B283">
        <v>594</v>
      </c>
      <c r="C283">
        <v>600</v>
      </c>
      <c r="D283">
        <v>226</v>
      </c>
    </row>
    <row r="284" spans="1:4" x14ac:dyDescent="0.2">
      <c r="A284" t="s">
        <v>34</v>
      </c>
      <c r="B284">
        <v>590</v>
      </c>
      <c r="C284">
        <v>600</v>
      </c>
      <c r="D284">
        <v>226</v>
      </c>
    </row>
    <row r="285" spans="1:4" x14ac:dyDescent="0.2">
      <c r="A285" t="s">
        <v>35</v>
      </c>
      <c r="B285">
        <v>600</v>
      </c>
      <c r="C285">
        <v>600</v>
      </c>
      <c r="D285">
        <v>216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stats_DesertRegion_uav3.txt3724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2023-03-04T01:20:38Z</dcterms:created>
  <dcterms:modified xsi:type="dcterms:W3CDTF">2023-03-04T11:31:46Z</dcterms:modified>
</cp:coreProperties>
</file>