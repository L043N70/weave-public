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orenzo/Library/CloudStorage/Dropbox/PhD - DRONE_SWARM/experiments/dubai-40-stats/"/>
    </mc:Choice>
  </mc:AlternateContent>
  <xr:revisionPtr revIDLastSave="0" documentId="13_ncr:1_{1413A653-B285-6F4D-A695-969B8CC65266}" xr6:coauthVersionLast="47" xr6:coauthVersionMax="47" xr10:uidLastSave="{00000000-0000-0000-0000-000000000000}"/>
  <bookViews>
    <workbookView xWindow="3420" yWindow="2500" windowWidth="25380" windowHeight="13800" activeTab="1" xr2:uid="{00000000-000D-0000-FFFF-FFFF00000000}"/>
  </bookViews>
  <sheets>
    <sheet name="stats_DesertRegion_uav6.txt3770" sheetId="1" r:id="rId1"/>
    <sheet name="cells-per-subpath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2" l="1"/>
  <c r="I3" i="2"/>
  <c r="I4" i="2"/>
  <c r="I5" i="2"/>
  <c r="I6" i="2"/>
  <c r="I7" i="2"/>
  <c r="I2" i="2"/>
  <c r="H8" i="2"/>
  <c r="H3" i="2"/>
  <c r="H4" i="2"/>
  <c r="H5" i="2"/>
  <c r="H6" i="2"/>
  <c r="H7" i="2"/>
  <c r="H2" i="2"/>
  <c r="O102" i="1" l="1"/>
  <c r="P102" i="1"/>
  <c r="Q102" i="1"/>
  <c r="R102" i="1"/>
  <c r="S102" i="1"/>
  <c r="T102" i="1"/>
  <c r="U102" i="1"/>
  <c r="V102" i="1"/>
  <c r="W102" i="1"/>
  <c r="X102" i="1"/>
  <c r="Z102" i="1"/>
  <c r="AA102" i="1"/>
  <c r="AB102" i="1"/>
  <c r="AC102" i="1"/>
  <c r="N102" i="1"/>
</calcChain>
</file>

<file path=xl/sharedStrings.xml><?xml version="1.0" encoding="utf-8"?>
<sst xmlns="http://schemas.openxmlformats.org/spreadsheetml/2006/main" count="1041" uniqueCount="45">
  <si>
    <t>macro_grid_resolution</t>
  </si>
  <si>
    <t>micro_grid_resolution</t>
  </si>
  <si>
    <t>micro_grid_dimension_cells</t>
  </si>
  <si>
    <t>no_fly_zone_cells</t>
  </si>
  <si>
    <t>no_fly_zone_%_of_scenario_cells</t>
  </si>
  <si>
    <t>roi_dimension_cells</t>
  </si>
  <si>
    <t>roi_dimension_%_of_scenario_cells</t>
  </si>
  <si>
    <t>roads_cells</t>
  </si>
  <si>
    <t>roads_%_of_roi_cells</t>
  </si>
  <si>
    <t>starting_weather_conditions</t>
  </si>
  <si>
    <t>starting_uavs_autonomy_cells</t>
  </si>
  <si>
    <t>weather_forecasts</t>
  </si>
  <si>
    <t>max_number_of_uavs</t>
  </si>
  <si>
    <t>number_of_bsss_used</t>
  </si>
  <si>
    <t>cumulative_energy_used_by_uavs</t>
  </si>
  <si>
    <t>cumulative_energy_wasted_by_uavs</t>
  </si>
  <si>
    <t>cumulative_number_of_batteries_used_by_uavs</t>
  </si>
  <si>
    <t>mission_time_seconds</t>
  </si>
  <si>
    <t>bsss_mission_time_seconds</t>
  </si>
  <si>
    <t>cumulative_swap_time_seconds</t>
  </si>
  <si>
    <t>darp_execution_time_seconds</t>
  </si>
  <si>
    <t>stc_execution_time_seconds</t>
  </si>
  <si>
    <t>pp_uavs_execution_time_seconds</t>
  </si>
  <si>
    <t>pp_bsss_execution_time_seconds</t>
  </si>
  <si>
    <t>total_execution_time_seconds</t>
  </si>
  <si>
    <t>darpfailures</t>
  </si>
  <si>
    <t>ppbssfailures</t>
  </si>
  <si>
    <t>ppuavfailures</t>
  </si>
  <si>
    <t>ppweatherfailures</t>
  </si>
  <si>
    <t>40x40</t>
  </si>
  <si>
    <t>80x80</t>
  </si>
  <si>
    <t>Optimal</t>
  </si>
  <si>
    <t>Static</t>
  </si>
  <si>
    <t>energy</t>
  </si>
  <si>
    <t>1st</t>
  </si>
  <si>
    <t>last</t>
  </si>
  <si>
    <t>UAV 1</t>
  </si>
  <si>
    <t>UAV 2</t>
  </si>
  <si>
    <t>UAV 3</t>
  </si>
  <si>
    <t>UAV 4</t>
  </si>
  <si>
    <t>UAV 5</t>
  </si>
  <si>
    <t>UAV 6</t>
  </si>
  <si>
    <t>Colonna1</t>
  </si>
  <si>
    <t>Colonna2</t>
  </si>
  <si>
    <t>Colonna3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</si>
</sst>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42" applyNumberFormat="1" applyFont="1"/>
    <xf numFmtId="164" fontId="16" fillId="0" borderId="0" xfId="42" applyNumberFormat="1" applyFont="1"/>
  </cellXfs>
  <cellStyles count="43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Percentuale" xfId="42" builtinId="5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15FB8D-DE10-8449-9553-1EBC5E11A9BF}" name="Tabella1" displayName="Tabella1" ref="A1:AC102" totalsRowCount="1">
  <autoFilter ref="A1:AC101" xr:uid="{FE15FB8D-DE10-8449-9553-1EBC5E11A9BF}"/>
  <tableColumns count="29">
    <tableColumn id="1" xr3:uid="{F7ADACF9-F336-FA47-821A-223FE07DA3E6}" name="macro_grid_resolution"/>
    <tableColumn id="2" xr3:uid="{8C51B814-16DD-C543-8E2D-1D588E99ABB8}" name="micro_grid_resolution"/>
    <tableColumn id="3" xr3:uid="{751053C5-286E-894A-A539-0F001458EF67}" name="micro_grid_dimension_cells"/>
    <tableColumn id="4" xr3:uid="{A2E54523-23B9-954F-80CE-92901AD0AF5D}" name="no_fly_zone_cells"/>
    <tableColumn id="5" xr3:uid="{4E617B7A-82B0-4442-8C8E-5123108FEE0B}" name="no_fly_zone_%_of_scenario_cells"/>
    <tableColumn id="6" xr3:uid="{FC4975B0-A175-7940-B7C3-B56AEF4CA0CD}" name="roi_dimension_cells"/>
    <tableColumn id="7" xr3:uid="{9E41E580-EF5B-C64E-A076-2A86A52CCC78}" name="roi_dimension_%_of_scenario_cells"/>
    <tableColumn id="8" xr3:uid="{D53895DF-0E19-DC45-A8E2-D16EB3D6D555}" name="roads_cells"/>
    <tableColumn id="9" xr3:uid="{A573E4E0-6BFC-1644-93EA-48EBDCFDE57D}" name="roads_%_of_roi_cells"/>
    <tableColumn id="10" xr3:uid="{317CC370-EC5E-8142-B5EA-F839719DF987}" name="starting_weather_conditions"/>
    <tableColumn id="11" xr3:uid="{E6FBC91E-3DF7-374D-A0D8-B623AD0F0710}" name="starting_uavs_autonomy_cells"/>
    <tableColumn id="12" xr3:uid="{7614F3C7-4368-7849-90B1-E82637EC38AC}" name="weather_forecasts"/>
    <tableColumn id="13" xr3:uid="{231BA421-7D1E-1E43-AC06-8AA69647D7D3}" name="max_number_of_uavs"/>
    <tableColumn id="14" xr3:uid="{853E5E1F-D3EA-C14E-AE7D-B7650DBC58A1}" name="number_of_bsss_used" totalsRowFunction="custom">
      <totalsRowFormula>AVERAGE(Tabella1[number_of_bsss_used])</totalsRowFormula>
    </tableColumn>
    <tableColumn id="15" xr3:uid="{11EB1BA6-CB93-C640-A220-DB54A451FE77}" name="cumulative_energy_used_by_uavs" totalsRowFunction="custom">
      <totalsRowFormula>AVERAGE(Tabella1[cumulative_energy_used_by_uavs])</totalsRowFormula>
    </tableColumn>
    <tableColumn id="16" xr3:uid="{13514DA2-A6D2-2945-8183-CA02F67B1543}" name="cumulative_energy_wasted_by_uavs" totalsRowFunction="custom">
      <totalsRowFormula>AVERAGE(Tabella1[cumulative_energy_wasted_by_uavs])</totalsRowFormula>
    </tableColumn>
    <tableColumn id="17" xr3:uid="{C5A9BFA9-5143-AB42-906B-3DBCF6A751A6}" name="cumulative_number_of_batteries_used_by_uavs" totalsRowFunction="custom">
      <totalsRowFormula>AVERAGE(Tabella1[cumulative_number_of_batteries_used_by_uavs])</totalsRowFormula>
    </tableColumn>
    <tableColumn id="18" xr3:uid="{DBFC37DF-F77F-7248-A61B-8861572823F1}" name="mission_time_seconds" totalsRowFunction="custom">
      <totalsRowFormula>AVERAGE(Tabella1[mission_time_seconds])</totalsRowFormula>
    </tableColumn>
    <tableColumn id="19" xr3:uid="{147CAAEA-2122-FF46-81B9-3B215CE232CD}" name="bsss_mission_time_seconds" totalsRowFunction="custom">
      <totalsRowFormula>AVERAGE(Tabella1[bsss_mission_time_seconds])</totalsRowFormula>
    </tableColumn>
    <tableColumn id="20" xr3:uid="{BAFB4B04-C08C-824A-9FC0-00CE3B48C437}" name="cumulative_swap_time_seconds" totalsRowFunction="custom">
      <totalsRowFormula>AVERAGE(Tabella1[cumulative_swap_time_seconds])</totalsRowFormula>
    </tableColumn>
    <tableColumn id="21" xr3:uid="{764F1B07-563E-A94B-A0E6-1BECDFF7D180}" name="darp_execution_time_seconds" totalsRowFunction="custom">
      <totalsRowFormula>AVERAGE(Tabella1[darp_execution_time_seconds])</totalsRowFormula>
    </tableColumn>
    <tableColumn id="22" xr3:uid="{F4A5243F-DCEB-FD44-B87E-3399B2E31A6C}" name="stc_execution_time_seconds" totalsRowFunction="custom">
      <totalsRowFormula>AVERAGE(Tabella1[stc_execution_time_seconds])</totalsRowFormula>
    </tableColumn>
    <tableColumn id="23" xr3:uid="{1214C307-DA1D-2445-BB8A-C4CCF8989A85}" name="pp_uavs_execution_time_seconds" totalsRowFunction="custom">
      <totalsRowFormula>AVERAGE(Tabella1[pp_uavs_execution_time_seconds])</totalsRowFormula>
    </tableColumn>
    <tableColumn id="24" xr3:uid="{E5A95EEA-3479-714E-94EF-12451D75581B}" name="pp_bsss_execution_time_seconds" totalsRowFunction="custom">
      <totalsRowFormula>AVERAGE(Tabella1[pp_bsss_execution_time_seconds])</totalsRowFormula>
    </tableColumn>
    <tableColumn id="25" xr3:uid="{BC47E0FB-E426-4A48-AA19-3E9218BECA52}" name="total_execution_time_seconds"/>
    <tableColumn id="26" xr3:uid="{ACB0D48A-414E-A647-A3C0-054789286D1D}" name="darpfailures" totalsRowFunction="custom">
      <totalsRowFormula>AVERAGE(Tabella1[darpfailures])</totalsRowFormula>
    </tableColumn>
    <tableColumn id="27" xr3:uid="{D7EC06D8-EF6A-CF4F-8673-8DC7508CD4B6}" name="ppbssfailures" totalsRowFunction="custom">
      <totalsRowFormula>AVERAGE(Tabella1[ppbssfailures])</totalsRowFormula>
    </tableColumn>
    <tableColumn id="28" xr3:uid="{B65A972A-002E-C646-8171-DFD28A3C4BB3}" name="ppuavfailures" totalsRowFunction="custom">
      <totalsRowFormula>AVERAGE(Tabella1[ppuavfailures])</totalsRowFormula>
    </tableColumn>
    <tableColumn id="29" xr3:uid="{3A1BE7AC-9076-6542-928E-5200767D7BD0}" name="ppweatherfailures" totalsRowFunction="custom">
      <totalsRowFormula>AVERAGE(Tabella1[ppweatherfailures])</totalsRow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E7E12CC-8255-F144-99BC-053A7FE3CB7F}" name="Tabella2" displayName="Tabella2" ref="A3:C603" totalsRowShown="0">
  <autoFilter ref="A3:C603" xr:uid="{2E7E12CC-8255-F144-99BC-053A7FE3CB7F}"/>
  <tableColumns count="3">
    <tableColumn id="1" xr3:uid="{4D24EE8B-A9FD-F84E-9C82-0F3C0B7CD063}" name="Colonna1"/>
    <tableColumn id="2" xr3:uid="{D14320A1-37A2-8E45-8246-C660BEE88604}" name="Colonna2"/>
    <tableColumn id="3" xr3:uid="{8FECCF7D-A2E0-0446-A18B-3297E3610347}" name="Colonna3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2"/>
  <sheetViews>
    <sheetView topLeftCell="W77" workbookViewId="0">
      <selection activeCell="Z102" sqref="Z102:AC102"/>
    </sheetView>
  </sheetViews>
  <sheetFormatPr baseColWidth="10" defaultRowHeight="16" x14ac:dyDescent="0.2"/>
  <cols>
    <col min="1" max="1" width="22" customWidth="1"/>
    <col min="2" max="2" width="21.5" customWidth="1"/>
    <col min="3" max="3" width="26.5" customWidth="1"/>
    <col min="4" max="4" width="18" customWidth="1"/>
    <col min="5" max="5" width="31" customWidth="1"/>
    <col min="6" max="6" width="19.83203125" customWidth="1"/>
    <col min="7" max="7" width="32.83203125" customWidth="1"/>
    <col min="8" max="8" width="12.6640625" customWidth="1"/>
    <col min="9" max="9" width="21" customWidth="1"/>
    <col min="10" max="10" width="27" customWidth="1"/>
    <col min="11" max="11" width="28.33203125" customWidth="1"/>
    <col min="12" max="12" width="18.83203125" customWidth="1"/>
    <col min="13" max="13" width="21.6640625" customWidth="1"/>
    <col min="14" max="14" width="21.83203125" customWidth="1"/>
    <col min="15" max="15" width="31.33203125" customWidth="1"/>
    <col min="16" max="16" width="33.5" customWidth="1"/>
    <col min="17" max="17" width="43.1640625" customWidth="1"/>
    <col min="18" max="18" width="22.1640625" customWidth="1"/>
    <col min="19" max="19" width="26.6640625" customWidth="1"/>
    <col min="20" max="20" width="30.1640625" customWidth="1"/>
    <col min="21" max="21" width="28.33203125" customWidth="1"/>
    <col min="22" max="22" width="27" customWidth="1"/>
    <col min="23" max="23" width="31.33203125" customWidth="1"/>
    <col min="24" max="24" width="31.1640625" customWidth="1"/>
    <col min="25" max="25" width="28.5" customWidth="1"/>
    <col min="26" max="26" width="13.33203125" customWidth="1"/>
    <col min="27" max="27" width="14.33203125" customWidth="1"/>
    <col min="28" max="28" width="14.5" customWidth="1"/>
    <col min="29" max="29" width="18.5" customWidth="1"/>
  </cols>
  <sheetData>
    <row r="1" spans="1: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">
      <c r="A2" t="s">
        <v>29</v>
      </c>
      <c r="B2" t="s">
        <v>30</v>
      </c>
      <c r="C2">
        <v>6400</v>
      </c>
      <c r="D2">
        <v>2148</v>
      </c>
      <c r="E2">
        <v>33.56</v>
      </c>
      <c r="F2">
        <v>4252</v>
      </c>
      <c r="G2">
        <v>66.44</v>
      </c>
      <c r="H2">
        <v>1616</v>
      </c>
      <c r="I2">
        <v>38.01</v>
      </c>
      <c r="J2" t="s">
        <v>31</v>
      </c>
      <c r="K2">
        <v>600</v>
      </c>
      <c r="L2" t="s">
        <v>32</v>
      </c>
      <c r="M2">
        <v>6</v>
      </c>
      <c r="N2">
        <v>6</v>
      </c>
      <c r="O2">
        <v>4276</v>
      </c>
      <c r="P2">
        <v>24</v>
      </c>
      <c r="Q2">
        <v>12</v>
      </c>
      <c r="R2">
        <v>892</v>
      </c>
      <c r="S2">
        <v>67</v>
      </c>
      <c r="T2">
        <v>1080</v>
      </c>
      <c r="U2">
        <v>0.33483000000000002</v>
      </c>
      <c r="V2">
        <v>4.82E-2</v>
      </c>
      <c r="W2">
        <v>3.0980000000000001E-3</v>
      </c>
      <c r="X2">
        <v>8.3169999999999997E-3</v>
      </c>
      <c r="Y2">
        <v>0.394515</v>
      </c>
      <c r="Z2">
        <v>0</v>
      </c>
      <c r="AA2">
        <v>0</v>
      </c>
      <c r="AB2">
        <v>0</v>
      </c>
      <c r="AC2">
        <v>0</v>
      </c>
    </row>
    <row r="3" spans="1:29" x14ac:dyDescent="0.2">
      <c r="A3" t="s">
        <v>29</v>
      </c>
      <c r="B3" t="s">
        <v>30</v>
      </c>
      <c r="C3">
        <v>6400</v>
      </c>
      <c r="D3">
        <v>2148</v>
      </c>
      <c r="E3">
        <v>33.56</v>
      </c>
      <c r="F3">
        <v>4252</v>
      </c>
      <c r="G3">
        <v>66.44</v>
      </c>
      <c r="H3">
        <v>1616</v>
      </c>
      <c r="I3">
        <v>38.01</v>
      </c>
      <c r="J3" t="s">
        <v>31</v>
      </c>
      <c r="K3">
        <v>600</v>
      </c>
      <c r="L3" t="s">
        <v>32</v>
      </c>
      <c r="M3">
        <v>6</v>
      </c>
      <c r="N3">
        <v>6</v>
      </c>
      <c r="O3">
        <v>4279</v>
      </c>
      <c r="P3">
        <v>27</v>
      </c>
      <c r="Q3">
        <v>12</v>
      </c>
      <c r="R3">
        <v>892</v>
      </c>
      <c r="S3">
        <v>74</v>
      </c>
      <c r="T3">
        <v>1080</v>
      </c>
      <c r="U3">
        <v>0.27945199999999998</v>
      </c>
      <c r="V3">
        <v>4.6483999999999998E-2</v>
      </c>
      <c r="W3">
        <v>3.1570000000000001E-3</v>
      </c>
      <c r="X3">
        <v>4.6210000000000001E-3</v>
      </c>
      <c r="Y3">
        <v>0.33377899999999999</v>
      </c>
      <c r="Z3">
        <v>0</v>
      </c>
      <c r="AA3">
        <v>0</v>
      </c>
      <c r="AB3">
        <v>0</v>
      </c>
      <c r="AC3">
        <v>0</v>
      </c>
    </row>
    <row r="4" spans="1:29" x14ac:dyDescent="0.2">
      <c r="A4" t="s">
        <v>29</v>
      </c>
      <c r="B4" t="s">
        <v>30</v>
      </c>
      <c r="C4">
        <v>6400</v>
      </c>
      <c r="D4">
        <v>2148</v>
      </c>
      <c r="E4">
        <v>33.56</v>
      </c>
      <c r="F4">
        <v>4252</v>
      </c>
      <c r="G4">
        <v>66.44</v>
      </c>
      <c r="H4">
        <v>1616</v>
      </c>
      <c r="I4">
        <v>38.01</v>
      </c>
      <c r="J4" t="s">
        <v>31</v>
      </c>
      <c r="K4">
        <v>600</v>
      </c>
      <c r="L4" t="s">
        <v>32</v>
      </c>
      <c r="M4">
        <v>6</v>
      </c>
      <c r="N4">
        <v>6</v>
      </c>
      <c r="O4">
        <v>4319</v>
      </c>
      <c r="P4">
        <v>67</v>
      </c>
      <c r="Q4">
        <v>12</v>
      </c>
      <c r="R4">
        <v>892</v>
      </c>
      <c r="S4">
        <v>74</v>
      </c>
      <c r="T4">
        <v>1080</v>
      </c>
      <c r="U4">
        <v>0.551261</v>
      </c>
      <c r="V4">
        <v>4.793E-2</v>
      </c>
      <c r="W4">
        <v>3.0539999999999999E-3</v>
      </c>
      <c r="X4">
        <v>1.0094000000000001E-2</v>
      </c>
      <c r="Y4">
        <v>0.612398</v>
      </c>
      <c r="Z4">
        <v>0</v>
      </c>
      <c r="AA4">
        <v>0</v>
      </c>
      <c r="AB4">
        <v>0</v>
      </c>
      <c r="AC4">
        <v>0</v>
      </c>
    </row>
    <row r="5" spans="1:29" x14ac:dyDescent="0.2">
      <c r="A5" t="s">
        <v>29</v>
      </c>
      <c r="B5" t="s">
        <v>30</v>
      </c>
      <c r="C5">
        <v>6400</v>
      </c>
      <c r="D5">
        <v>2148</v>
      </c>
      <c r="E5">
        <v>33.56</v>
      </c>
      <c r="F5">
        <v>4252</v>
      </c>
      <c r="G5">
        <v>66.44</v>
      </c>
      <c r="H5">
        <v>1616</v>
      </c>
      <c r="I5">
        <v>38.01</v>
      </c>
      <c r="J5" t="s">
        <v>31</v>
      </c>
      <c r="K5">
        <v>600</v>
      </c>
      <c r="L5" t="s">
        <v>32</v>
      </c>
      <c r="M5">
        <v>6</v>
      </c>
      <c r="N5">
        <v>6</v>
      </c>
      <c r="O5">
        <v>4274</v>
      </c>
      <c r="P5">
        <v>22</v>
      </c>
      <c r="Q5">
        <v>12</v>
      </c>
      <c r="R5">
        <v>892</v>
      </c>
      <c r="S5">
        <v>72</v>
      </c>
      <c r="T5">
        <v>1080</v>
      </c>
      <c r="U5">
        <v>0.40069900000000003</v>
      </c>
      <c r="V5">
        <v>4.8256E-2</v>
      </c>
      <c r="W5">
        <v>3.2049999999999999E-3</v>
      </c>
      <c r="X5">
        <v>8.6730000000000002E-3</v>
      </c>
      <c r="Y5">
        <v>0.460893</v>
      </c>
      <c r="Z5">
        <v>0</v>
      </c>
      <c r="AA5">
        <v>0</v>
      </c>
      <c r="AB5">
        <v>0</v>
      </c>
      <c r="AC5">
        <v>0</v>
      </c>
    </row>
    <row r="6" spans="1:29" x14ac:dyDescent="0.2">
      <c r="A6" t="s">
        <v>29</v>
      </c>
      <c r="B6" t="s">
        <v>30</v>
      </c>
      <c r="C6">
        <v>6400</v>
      </c>
      <c r="D6">
        <v>2148</v>
      </c>
      <c r="E6">
        <v>33.56</v>
      </c>
      <c r="F6">
        <v>4252</v>
      </c>
      <c r="G6">
        <v>66.44</v>
      </c>
      <c r="H6">
        <v>1616</v>
      </c>
      <c r="I6">
        <v>38.01</v>
      </c>
      <c r="J6" t="s">
        <v>31</v>
      </c>
      <c r="K6">
        <v>600</v>
      </c>
      <c r="L6" t="s">
        <v>32</v>
      </c>
      <c r="M6">
        <v>6</v>
      </c>
      <c r="N6">
        <v>6</v>
      </c>
      <c r="O6">
        <v>4308</v>
      </c>
      <c r="P6">
        <v>56</v>
      </c>
      <c r="Q6">
        <v>12</v>
      </c>
      <c r="R6">
        <v>892</v>
      </c>
      <c r="S6">
        <v>74</v>
      </c>
      <c r="T6">
        <v>1080</v>
      </c>
      <c r="U6">
        <v>0.49704399999999999</v>
      </c>
      <c r="V6">
        <v>4.7973000000000002E-2</v>
      </c>
      <c r="W6">
        <v>3.1419999999999998E-3</v>
      </c>
      <c r="X6">
        <v>6.5839999999999996E-3</v>
      </c>
      <c r="Y6">
        <v>0.55479800000000001</v>
      </c>
      <c r="Z6">
        <v>0</v>
      </c>
      <c r="AA6">
        <v>0</v>
      </c>
      <c r="AB6">
        <v>0</v>
      </c>
      <c r="AC6">
        <v>0</v>
      </c>
    </row>
    <row r="7" spans="1:29" x14ac:dyDescent="0.2">
      <c r="A7" t="s">
        <v>29</v>
      </c>
      <c r="B7" t="s">
        <v>30</v>
      </c>
      <c r="C7">
        <v>6400</v>
      </c>
      <c r="D7">
        <v>2148</v>
      </c>
      <c r="E7">
        <v>33.56</v>
      </c>
      <c r="F7">
        <v>4252</v>
      </c>
      <c r="G7">
        <v>66.44</v>
      </c>
      <c r="H7">
        <v>1616</v>
      </c>
      <c r="I7">
        <v>38.01</v>
      </c>
      <c r="J7" t="s">
        <v>31</v>
      </c>
      <c r="K7">
        <v>600</v>
      </c>
      <c r="L7" t="s">
        <v>32</v>
      </c>
      <c r="M7">
        <v>6</v>
      </c>
      <c r="N7">
        <v>6</v>
      </c>
      <c r="O7">
        <v>4280</v>
      </c>
      <c r="P7">
        <v>28</v>
      </c>
      <c r="Q7">
        <v>12</v>
      </c>
      <c r="R7">
        <v>892</v>
      </c>
      <c r="S7">
        <v>66</v>
      </c>
      <c r="T7">
        <v>1080</v>
      </c>
      <c r="U7">
        <v>0.42227700000000001</v>
      </c>
      <c r="V7">
        <v>4.6591E-2</v>
      </c>
      <c r="W7">
        <v>3.179E-3</v>
      </c>
      <c r="X7">
        <v>7.5770000000000004E-3</v>
      </c>
      <c r="Y7">
        <v>0.47968300000000003</v>
      </c>
      <c r="Z7">
        <v>0</v>
      </c>
      <c r="AA7">
        <v>0</v>
      </c>
      <c r="AB7">
        <v>0</v>
      </c>
      <c r="AC7">
        <v>0</v>
      </c>
    </row>
    <row r="8" spans="1:29" x14ac:dyDescent="0.2">
      <c r="A8" t="s">
        <v>29</v>
      </c>
      <c r="B8" t="s">
        <v>30</v>
      </c>
      <c r="C8">
        <v>6400</v>
      </c>
      <c r="D8">
        <v>2148</v>
      </c>
      <c r="E8">
        <v>33.56</v>
      </c>
      <c r="F8">
        <v>4252</v>
      </c>
      <c r="G8">
        <v>66.44</v>
      </c>
      <c r="H8">
        <v>1616</v>
      </c>
      <c r="I8">
        <v>38.01</v>
      </c>
      <c r="J8" t="s">
        <v>31</v>
      </c>
      <c r="K8">
        <v>600</v>
      </c>
      <c r="L8" t="s">
        <v>32</v>
      </c>
      <c r="M8">
        <v>6</v>
      </c>
      <c r="N8">
        <v>6</v>
      </c>
      <c r="O8">
        <v>4281</v>
      </c>
      <c r="P8">
        <v>29</v>
      </c>
      <c r="Q8">
        <v>12</v>
      </c>
      <c r="R8">
        <v>892</v>
      </c>
      <c r="S8">
        <v>75</v>
      </c>
      <c r="T8">
        <v>1080</v>
      </c>
      <c r="U8">
        <v>0.43795400000000001</v>
      </c>
      <c r="V8">
        <v>4.6965E-2</v>
      </c>
      <c r="W8">
        <v>3.13E-3</v>
      </c>
      <c r="X8">
        <v>9.2320000000000006E-3</v>
      </c>
      <c r="Y8">
        <v>0.497338</v>
      </c>
      <c r="Z8">
        <v>0</v>
      </c>
      <c r="AA8">
        <v>0</v>
      </c>
      <c r="AB8">
        <v>0</v>
      </c>
      <c r="AC8">
        <v>0</v>
      </c>
    </row>
    <row r="9" spans="1:29" x14ac:dyDescent="0.2">
      <c r="A9" t="s">
        <v>29</v>
      </c>
      <c r="B9" t="s">
        <v>30</v>
      </c>
      <c r="C9">
        <v>6400</v>
      </c>
      <c r="D9">
        <v>2148</v>
      </c>
      <c r="E9">
        <v>33.56</v>
      </c>
      <c r="F9">
        <v>4252</v>
      </c>
      <c r="G9">
        <v>66.44</v>
      </c>
      <c r="H9">
        <v>1616</v>
      </c>
      <c r="I9">
        <v>38.01</v>
      </c>
      <c r="J9" t="s">
        <v>31</v>
      </c>
      <c r="K9">
        <v>600</v>
      </c>
      <c r="L9" t="s">
        <v>32</v>
      </c>
      <c r="M9">
        <v>6</v>
      </c>
      <c r="N9">
        <v>6</v>
      </c>
      <c r="O9">
        <v>4322</v>
      </c>
      <c r="P9">
        <v>70</v>
      </c>
      <c r="Q9">
        <v>12</v>
      </c>
      <c r="R9">
        <v>892</v>
      </c>
      <c r="S9">
        <v>68</v>
      </c>
      <c r="T9">
        <v>1080</v>
      </c>
      <c r="U9">
        <v>0.32961699999999999</v>
      </c>
      <c r="V9">
        <v>4.6897000000000001E-2</v>
      </c>
      <c r="W9">
        <v>3.1470000000000001E-3</v>
      </c>
      <c r="X9">
        <v>6.7010000000000004E-3</v>
      </c>
      <c r="Y9">
        <v>0.38642700000000002</v>
      </c>
      <c r="Z9">
        <v>0</v>
      </c>
      <c r="AA9">
        <v>0</v>
      </c>
      <c r="AB9">
        <v>0</v>
      </c>
      <c r="AC9">
        <v>0</v>
      </c>
    </row>
    <row r="10" spans="1:29" x14ac:dyDescent="0.2">
      <c r="A10" t="s">
        <v>29</v>
      </c>
      <c r="B10" t="s">
        <v>30</v>
      </c>
      <c r="C10">
        <v>6400</v>
      </c>
      <c r="D10">
        <v>2148</v>
      </c>
      <c r="E10">
        <v>33.56</v>
      </c>
      <c r="F10">
        <v>4252</v>
      </c>
      <c r="G10">
        <v>66.44</v>
      </c>
      <c r="H10">
        <v>1616</v>
      </c>
      <c r="I10">
        <v>38.01</v>
      </c>
      <c r="J10" t="s">
        <v>31</v>
      </c>
      <c r="K10">
        <v>600</v>
      </c>
      <c r="L10" t="s">
        <v>32</v>
      </c>
      <c r="M10">
        <v>6</v>
      </c>
      <c r="N10">
        <v>6</v>
      </c>
      <c r="O10">
        <v>4278</v>
      </c>
      <c r="P10">
        <v>26</v>
      </c>
      <c r="Q10">
        <v>12</v>
      </c>
      <c r="R10">
        <v>892</v>
      </c>
      <c r="S10">
        <v>66</v>
      </c>
      <c r="T10">
        <v>1080</v>
      </c>
      <c r="U10">
        <v>0.42528300000000002</v>
      </c>
      <c r="V10">
        <v>4.8516999999999998E-2</v>
      </c>
      <c r="W10">
        <v>3.2190000000000001E-3</v>
      </c>
      <c r="X10">
        <v>6.9750000000000003E-3</v>
      </c>
      <c r="Y10">
        <v>0.48405799999999999</v>
      </c>
      <c r="Z10">
        <v>0</v>
      </c>
      <c r="AA10">
        <v>0</v>
      </c>
      <c r="AB10">
        <v>0</v>
      </c>
      <c r="AC10">
        <v>0</v>
      </c>
    </row>
    <row r="11" spans="1:29" x14ac:dyDescent="0.2">
      <c r="A11" t="s">
        <v>29</v>
      </c>
      <c r="B11" t="s">
        <v>30</v>
      </c>
      <c r="C11">
        <v>6400</v>
      </c>
      <c r="D11">
        <v>2148</v>
      </c>
      <c r="E11">
        <v>33.56</v>
      </c>
      <c r="F11">
        <v>4252</v>
      </c>
      <c r="G11">
        <v>66.44</v>
      </c>
      <c r="H11">
        <v>1616</v>
      </c>
      <c r="I11">
        <v>38.01</v>
      </c>
      <c r="J11" t="s">
        <v>31</v>
      </c>
      <c r="K11">
        <v>600</v>
      </c>
      <c r="L11" t="s">
        <v>32</v>
      </c>
      <c r="M11">
        <v>6</v>
      </c>
      <c r="N11">
        <v>6</v>
      </c>
      <c r="O11">
        <v>4290</v>
      </c>
      <c r="P11">
        <v>38</v>
      </c>
      <c r="Q11">
        <v>12</v>
      </c>
      <c r="R11">
        <v>892</v>
      </c>
      <c r="S11">
        <v>73</v>
      </c>
      <c r="T11">
        <v>1080</v>
      </c>
      <c r="U11">
        <v>0.36388999999999999</v>
      </c>
      <c r="V11">
        <v>4.7736000000000001E-2</v>
      </c>
      <c r="W11">
        <v>3.13E-3</v>
      </c>
      <c r="X11">
        <v>1.3453E-2</v>
      </c>
      <c r="Y11">
        <v>0.42826900000000001</v>
      </c>
      <c r="Z11">
        <v>0</v>
      </c>
      <c r="AA11">
        <v>0</v>
      </c>
      <c r="AB11">
        <v>0</v>
      </c>
      <c r="AC11">
        <v>0</v>
      </c>
    </row>
    <row r="12" spans="1:29" x14ac:dyDescent="0.2">
      <c r="A12" t="s">
        <v>29</v>
      </c>
      <c r="B12" t="s">
        <v>30</v>
      </c>
      <c r="C12">
        <v>6400</v>
      </c>
      <c r="D12">
        <v>2148</v>
      </c>
      <c r="E12">
        <v>33.56</v>
      </c>
      <c r="F12">
        <v>4252</v>
      </c>
      <c r="G12">
        <v>66.44</v>
      </c>
      <c r="H12">
        <v>1616</v>
      </c>
      <c r="I12">
        <v>38.01</v>
      </c>
      <c r="J12" t="s">
        <v>31</v>
      </c>
      <c r="K12">
        <v>600</v>
      </c>
      <c r="L12" t="s">
        <v>32</v>
      </c>
      <c r="M12">
        <v>6</v>
      </c>
      <c r="N12">
        <v>6</v>
      </c>
      <c r="O12">
        <v>4291</v>
      </c>
      <c r="P12">
        <v>39</v>
      </c>
      <c r="Q12">
        <v>12</v>
      </c>
      <c r="R12">
        <v>892</v>
      </c>
      <c r="S12">
        <v>62</v>
      </c>
      <c r="T12">
        <v>1080</v>
      </c>
      <c r="U12">
        <v>0.63850600000000002</v>
      </c>
      <c r="V12">
        <v>4.7088999999999999E-2</v>
      </c>
      <c r="W12">
        <v>3.199E-3</v>
      </c>
      <c r="X12">
        <v>7.1130000000000004E-3</v>
      </c>
      <c r="Y12">
        <v>0.695967</v>
      </c>
      <c r="Z12">
        <v>0</v>
      </c>
      <c r="AA12">
        <v>0</v>
      </c>
      <c r="AB12">
        <v>0</v>
      </c>
      <c r="AC12">
        <v>0</v>
      </c>
    </row>
    <row r="13" spans="1:29" x14ac:dyDescent="0.2">
      <c r="A13" t="s">
        <v>29</v>
      </c>
      <c r="B13" t="s">
        <v>30</v>
      </c>
      <c r="C13">
        <v>6400</v>
      </c>
      <c r="D13">
        <v>2148</v>
      </c>
      <c r="E13">
        <v>33.56</v>
      </c>
      <c r="F13">
        <v>4252</v>
      </c>
      <c r="G13">
        <v>66.44</v>
      </c>
      <c r="H13">
        <v>1616</v>
      </c>
      <c r="I13">
        <v>38.01</v>
      </c>
      <c r="J13" t="s">
        <v>31</v>
      </c>
      <c r="K13">
        <v>600</v>
      </c>
      <c r="L13" t="s">
        <v>32</v>
      </c>
      <c r="M13">
        <v>6</v>
      </c>
      <c r="N13">
        <v>6</v>
      </c>
      <c r="O13">
        <v>4274</v>
      </c>
      <c r="P13">
        <v>22</v>
      </c>
      <c r="Q13">
        <v>12</v>
      </c>
      <c r="R13">
        <v>892</v>
      </c>
      <c r="S13">
        <v>71</v>
      </c>
      <c r="T13">
        <v>1080</v>
      </c>
      <c r="U13">
        <v>0.43438500000000002</v>
      </c>
      <c r="V13">
        <v>4.8048E-2</v>
      </c>
      <c r="W13">
        <v>3.1120000000000002E-3</v>
      </c>
      <c r="X13">
        <v>5.3800000000000002E-3</v>
      </c>
      <c r="Y13">
        <v>0.490983</v>
      </c>
      <c r="Z13">
        <v>0</v>
      </c>
      <c r="AA13">
        <v>0</v>
      </c>
      <c r="AB13">
        <v>0</v>
      </c>
      <c r="AC13">
        <v>0</v>
      </c>
    </row>
    <row r="14" spans="1:29" x14ac:dyDescent="0.2">
      <c r="A14" t="s">
        <v>29</v>
      </c>
      <c r="B14" t="s">
        <v>30</v>
      </c>
      <c r="C14">
        <v>6400</v>
      </c>
      <c r="D14">
        <v>2148</v>
      </c>
      <c r="E14">
        <v>33.56</v>
      </c>
      <c r="F14">
        <v>4252</v>
      </c>
      <c r="G14">
        <v>66.44</v>
      </c>
      <c r="H14">
        <v>1616</v>
      </c>
      <c r="I14">
        <v>38.01</v>
      </c>
      <c r="J14" t="s">
        <v>31</v>
      </c>
      <c r="K14">
        <v>600</v>
      </c>
      <c r="L14" t="s">
        <v>32</v>
      </c>
      <c r="M14">
        <v>6</v>
      </c>
      <c r="N14">
        <v>6</v>
      </c>
      <c r="O14">
        <v>4314</v>
      </c>
      <c r="P14">
        <v>62</v>
      </c>
      <c r="Q14">
        <v>12</v>
      </c>
      <c r="R14">
        <v>892</v>
      </c>
      <c r="S14">
        <v>75</v>
      </c>
      <c r="T14">
        <v>1080</v>
      </c>
      <c r="U14">
        <v>0.36621100000000001</v>
      </c>
      <c r="V14">
        <v>4.7192999999999999E-2</v>
      </c>
      <c r="W14">
        <v>3.1519999999999999E-3</v>
      </c>
      <c r="X14">
        <v>7.5890000000000003E-3</v>
      </c>
      <c r="Y14">
        <v>0.42420600000000003</v>
      </c>
      <c r="Z14">
        <v>0</v>
      </c>
      <c r="AA14">
        <v>0</v>
      </c>
      <c r="AB14">
        <v>0</v>
      </c>
      <c r="AC14">
        <v>0</v>
      </c>
    </row>
    <row r="15" spans="1:29" x14ac:dyDescent="0.2">
      <c r="A15" t="s">
        <v>29</v>
      </c>
      <c r="B15" t="s">
        <v>30</v>
      </c>
      <c r="C15">
        <v>6400</v>
      </c>
      <c r="D15">
        <v>2148</v>
      </c>
      <c r="E15">
        <v>33.56</v>
      </c>
      <c r="F15">
        <v>4252</v>
      </c>
      <c r="G15">
        <v>66.44</v>
      </c>
      <c r="H15">
        <v>1616</v>
      </c>
      <c r="I15">
        <v>38.01</v>
      </c>
      <c r="J15" t="s">
        <v>31</v>
      </c>
      <c r="K15">
        <v>600</v>
      </c>
      <c r="L15" t="s">
        <v>32</v>
      </c>
      <c r="M15">
        <v>6</v>
      </c>
      <c r="N15">
        <v>6</v>
      </c>
      <c r="O15">
        <v>4276</v>
      </c>
      <c r="P15">
        <v>24</v>
      </c>
      <c r="Q15">
        <v>12</v>
      </c>
      <c r="R15">
        <v>892</v>
      </c>
      <c r="S15">
        <v>67</v>
      </c>
      <c r="T15">
        <v>1080</v>
      </c>
      <c r="U15">
        <v>0.43965500000000002</v>
      </c>
      <c r="V15">
        <v>4.7924000000000001E-2</v>
      </c>
      <c r="W15">
        <v>3.4619999999999998E-3</v>
      </c>
      <c r="X15">
        <v>1.1047E-2</v>
      </c>
      <c r="Y15">
        <v>0.50214300000000001</v>
      </c>
      <c r="Z15">
        <v>0</v>
      </c>
      <c r="AA15">
        <v>0</v>
      </c>
      <c r="AB15">
        <v>0</v>
      </c>
      <c r="AC15">
        <v>0</v>
      </c>
    </row>
    <row r="16" spans="1:29" x14ac:dyDescent="0.2">
      <c r="A16" t="s">
        <v>29</v>
      </c>
      <c r="B16" t="s">
        <v>30</v>
      </c>
      <c r="C16">
        <v>6400</v>
      </c>
      <c r="D16">
        <v>2148</v>
      </c>
      <c r="E16">
        <v>33.56</v>
      </c>
      <c r="F16">
        <v>4252</v>
      </c>
      <c r="G16">
        <v>66.44</v>
      </c>
      <c r="H16">
        <v>1616</v>
      </c>
      <c r="I16">
        <v>38.01</v>
      </c>
      <c r="J16" t="s">
        <v>31</v>
      </c>
      <c r="K16">
        <v>600</v>
      </c>
      <c r="L16" t="s">
        <v>32</v>
      </c>
      <c r="M16">
        <v>6</v>
      </c>
      <c r="N16">
        <v>6</v>
      </c>
      <c r="O16">
        <v>4285</v>
      </c>
      <c r="P16">
        <v>33</v>
      </c>
      <c r="Q16">
        <v>12</v>
      </c>
      <c r="R16">
        <v>892</v>
      </c>
      <c r="S16">
        <v>74</v>
      </c>
      <c r="T16">
        <v>1080</v>
      </c>
      <c r="U16">
        <v>0.356126</v>
      </c>
      <c r="V16">
        <v>4.8141000000000003E-2</v>
      </c>
      <c r="W16">
        <v>3.1089999999999998E-3</v>
      </c>
      <c r="X16">
        <v>5.6249999999999998E-3</v>
      </c>
      <c r="Y16">
        <v>0.41305999999999998</v>
      </c>
      <c r="Z16">
        <v>0</v>
      </c>
      <c r="AA16">
        <v>0</v>
      </c>
      <c r="AB16">
        <v>0</v>
      </c>
      <c r="AC16">
        <v>0</v>
      </c>
    </row>
    <row r="17" spans="1:29" x14ac:dyDescent="0.2">
      <c r="A17" t="s">
        <v>29</v>
      </c>
      <c r="B17" t="s">
        <v>30</v>
      </c>
      <c r="C17">
        <v>6400</v>
      </c>
      <c r="D17">
        <v>2148</v>
      </c>
      <c r="E17">
        <v>33.56</v>
      </c>
      <c r="F17">
        <v>4252</v>
      </c>
      <c r="G17">
        <v>66.44</v>
      </c>
      <c r="H17">
        <v>1616</v>
      </c>
      <c r="I17">
        <v>38.01</v>
      </c>
      <c r="J17" t="s">
        <v>31</v>
      </c>
      <c r="K17">
        <v>600</v>
      </c>
      <c r="L17" t="s">
        <v>32</v>
      </c>
      <c r="M17">
        <v>6</v>
      </c>
      <c r="N17">
        <v>6</v>
      </c>
      <c r="O17">
        <v>4355</v>
      </c>
      <c r="P17">
        <v>103</v>
      </c>
      <c r="Q17">
        <v>12</v>
      </c>
      <c r="R17">
        <v>892</v>
      </c>
      <c r="S17">
        <v>71</v>
      </c>
      <c r="T17">
        <v>1080</v>
      </c>
      <c r="U17">
        <v>0.73857499999999998</v>
      </c>
      <c r="V17">
        <v>4.7972000000000001E-2</v>
      </c>
      <c r="W17">
        <v>3.0890000000000002E-3</v>
      </c>
      <c r="X17">
        <v>9.5180000000000004E-3</v>
      </c>
      <c r="Y17">
        <v>0.79921399999999998</v>
      </c>
      <c r="Z17">
        <v>0</v>
      </c>
      <c r="AA17">
        <v>0</v>
      </c>
      <c r="AB17">
        <v>0</v>
      </c>
      <c r="AC17">
        <v>0</v>
      </c>
    </row>
    <row r="18" spans="1:29" x14ac:dyDescent="0.2">
      <c r="A18" t="s">
        <v>29</v>
      </c>
      <c r="B18" t="s">
        <v>30</v>
      </c>
      <c r="C18">
        <v>6400</v>
      </c>
      <c r="D18">
        <v>2148</v>
      </c>
      <c r="E18">
        <v>33.56</v>
      </c>
      <c r="F18">
        <v>4252</v>
      </c>
      <c r="G18">
        <v>66.44</v>
      </c>
      <c r="H18">
        <v>1616</v>
      </c>
      <c r="I18">
        <v>38.01</v>
      </c>
      <c r="J18" t="s">
        <v>31</v>
      </c>
      <c r="K18">
        <v>600</v>
      </c>
      <c r="L18" t="s">
        <v>32</v>
      </c>
      <c r="M18">
        <v>6</v>
      </c>
      <c r="N18">
        <v>6</v>
      </c>
      <c r="O18">
        <v>4275</v>
      </c>
      <c r="P18">
        <v>23</v>
      </c>
      <c r="Q18">
        <v>12</v>
      </c>
      <c r="R18">
        <v>892</v>
      </c>
      <c r="S18">
        <v>62</v>
      </c>
      <c r="T18">
        <v>1080</v>
      </c>
      <c r="U18">
        <v>0.33147399999999999</v>
      </c>
      <c r="V18">
        <v>4.7724000000000003E-2</v>
      </c>
      <c r="W18">
        <v>3.2569999999999999E-3</v>
      </c>
      <c r="X18">
        <v>4.365E-3</v>
      </c>
      <c r="Y18">
        <v>0.386878</v>
      </c>
      <c r="Z18">
        <v>0</v>
      </c>
      <c r="AA18">
        <v>0</v>
      </c>
      <c r="AB18">
        <v>0</v>
      </c>
      <c r="AC18">
        <v>0</v>
      </c>
    </row>
    <row r="19" spans="1:29" x14ac:dyDescent="0.2">
      <c r="A19" t="s">
        <v>29</v>
      </c>
      <c r="B19" t="s">
        <v>30</v>
      </c>
      <c r="C19">
        <v>6400</v>
      </c>
      <c r="D19">
        <v>2148</v>
      </c>
      <c r="E19">
        <v>33.56</v>
      </c>
      <c r="F19">
        <v>4252</v>
      </c>
      <c r="G19">
        <v>66.44</v>
      </c>
      <c r="H19">
        <v>1616</v>
      </c>
      <c r="I19">
        <v>38.01</v>
      </c>
      <c r="J19" t="s">
        <v>31</v>
      </c>
      <c r="K19">
        <v>600</v>
      </c>
      <c r="L19" t="s">
        <v>32</v>
      </c>
      <c r="M19">
        <v>6</v>
      </c>
      <c r="N19">
        <v>6</v>
      </c>
      <c r="O19">
        <v>4353</v>
      </c>
      <c r="P19">
        <v>101</v>
      </c>
      <c r="Q19">
        <v>12</v>
      </c>
      <c r="R19">
        <v>892</v>
      </c>
      <c r="S19">
        <v>66</v>
      </c>
      <c r="T19">
        <v>1080</v>
      </c>
      <c r="U19">
        <v>0.39696999999999999</v>
      </c>
      <c r="V19">
        <v>4.7927999999999998E-2</v>
      </c>
      <c r="W19">
        <v>3.1900000000000001E-3</v>
      </c>
      <c r="X19">
        <v>6.1009999999999997E-3</v>
      </c>
      <c r="Y19">
        <v>0.45424999999999999</v>
      </c>
      <c r="Z19">
        <v>0</v>
      </c>
      <c r="AA19">
        <v>0</v>
      </c>
      <c r="AB19">
        <v>0</v>
      </c>
      <c r="AC19">
        <v>0</v>
      </c>
    </row>
    <row r="20" spans="1:29" x14ac:dyDescent="0.2">
      <c r="A20" t="s">
        <v>29</v>
      </c>
      <c r="B20" t="s">
        <v>30</v>
      </c>
      <c r="C20">
        <v>6400</v>
      </c>
      <c r="D20">
        <v>2148</v>
      </c>
      <c r="E20">
        <v>33.56</v>
      </c>
      <c r="F20">
        <v>4252</v>
      </c>
      <c r="G20">
        <v>66.44</v>
      </c>
      <c r="H20">
        <v>1616</v>
      </c>
      <c r="I20">
        <v>38.01</v>
      </c>
      <c r="J20" t="s">
        <v>31</v>
      </c>
      <c r="K20">
        <v>600</v>
      </c>
      <c r="L20" t="s">
        <v>32</v>
      </c>
      <c r="M20">
        <v>6</v>
      </c>
      <c r="N20">
        <v>6</v>
      </c>
      <c r="O20">
        <v>4306</v>
      </c>
      <c r="P20">
        <v>54</v>
      </c>
      <c r="Q20">
        <v>12</v>
      </c>
      <c r="R20">
        <v>892</v>
      </c>
      <c r="S20">
        <v>74</v>
      </c>
      <c r="T20">
        <v>1080</v>
      </c>
      <c r="U20">
        <v>0.50980999999999999</v>
      </c>
      <c r="V20">
        <v>4.8715000000000001E-2</v>
      </c>
      <c r="W20">
        <v>3.0620000000000001E-3</v>
      </c>
      <c r="X20">
        <v>6.9100000000000003E-3</v>
      </c>
      <c r="Y20">
        <v>0.56855299999999998</v>
      </c>
      <c r="Z20">
        <v>0</v>
      </c>
      <c r="AA20">
        <v>0</v>
      </c>
      <c r="AB20">
        <v>0</v>
      </c>
      <c r="AC20">
        <v>0</v>
      </c>
    </row>
    <row r="21" spans="1:29" x14ac:dyDescent="0.2">
      <c r="A21" t="s">
        <v>29</v>
      </c>
      <c r="B21" t="s">
        <v>30</v>
      </c>
      <c r="C21">
        <v>6400</v>
      </c>
      <c r="D21">
        <v>2148</v>
      </c>
      <c r="E21">
        <v>33.56</v>
      </c>
      <c r="F21">
        <v>4252</v>
      </c>
      <c r="G21">
        <v>66.44</v>
      </c>
      <c r="H21">
        <v>1616</v>
      </c>
      <c r="I21">
        <v>38.01</v>
      </c>
      <c r="J21" t="s">
        <v>31</v>
      </c>
      <c r="K21">
        <v>600</v>
      </c>
      <c r="L21" t="s">
        <v>32</v>
      </c>
      <c r="M21">
        <v>6</v>
      </c>
      <c r="N21">
        <v>6</v>
      </c>
      <c r="O21">
        <v>4319</v>
      </c>
      <c r="P21">
        <v>67</v>
      </c>
      <c r="Q21">
        <v>12</v>
      </c>
      <c r="R21">
        <v>892</v>
      </c>
      <c r="S21">
        <v>69</v>
      </c>
      <c r="T21">
        <v>1080</v>
      </c>
      <c r="U21">
        <v>0.36704700000000001</v>
      </c>
      <c r="V21">
        <v>4.8337999999999999E-2</v>
      </c>
      <c r="W21">
        <v>3.2079999999999999E-3</v>
      </c>
      <c r="X21">
        <v>8.2489999999999994E-3</v>
      </c>
      <c r="Y21">
        <v>0.42690299999999998</v>
      </c>
      <c r="Z21">
        <v>0</v>
      </c>
      <c r="AA21">
        <v>0</v>
      </c>
      <c r="AB21">
        <v>0</v>
      </c>
      <c r="AC21">
        <v>0</v>
      </c>
    </row>
    <row r="22" spans="1:29" x14ac:dyDescent="0.2">
      <c r="A22" t="s">
        <v>29</v>
      </c>
      <c r="B22" t="s">
        <v>30</v>
      </c>
      <c r="C22">
        <v>6400</v>
      </c>
      <c r="D22">
        <v>2148</v>
      </c>
      <c r="E22">
        <v>33.56</v>
      </c>
      <c r="F22">
        <v>4252</v>
      </c>
      <c r="G22">
        <v>66.44</v>
      </c>
      <c r="H22">
        <v>1616</v>
      </c>
      <c r="I22">
        <v>38.01</v>
      </c>
      <c r="J22" t="s">
        <v>31</v>
      </c>
      <c r="K22">
        <v>600</v>
      </c>
      <c r="L22" t="s">
        <v>32</v>
      </c>
      <c r="M22">
        <v>6</v>
      </c>
      <c r="N22">
        <v>6</v>
      </c>
      <c r="O22">
        <v>4284</v>
      </c>
      <c r="P22">
        <v>32</v>
      </c>
      <c r="Q22">
        <v>12</v>
      </c>
      <c r="R22">
        <v>892</v>
      </c>
      <c r="S22">
        <v>69</v>
      </c>
      <c r="T22">
        <v>1080</v>
      </c>
      <c r="U22">
        <v>0.35000700000000001</v>
      </c>
      <c r="V22">
        <v>4.7974999999999997E-2</v>
      </c>
      <c r="W22">
        <v>3.241E-3</v>
      </c>
      <c r="X22">
        <v>4.4939999999999997E-3</v>
      </c>
      <c r="Y22">
        <v>0.405775</v>
      </c>
      <c r="Z22">
        <v>0</v>
      </c>
      <c r="AA22">
        <v>0</v>
      </c>
      <c r="AB22">
        <v>0</v>
      </c>
      <c r="AC22">
        <v>0</v>
      </c>
    </row>
    <row r="23" spans="1:29" x14ac:dyDescent="0.2">
      <c r="A23" t="s">
        <v>29</v>
      </c>
      <c r="B23" t="s">
        <v>30</v>
      </c>
      <c r="C23">
        <v>6400</v>
      </c>
      <c r="D23">
        <v>2148</v>
      </c>
      <c r="E23">
        <v>33.56</v>
      </c>
      <c r="F23">
        <v>4252</v>
      </c>
      <c r="G23">
        <v>66.44</v>
      </c>
      <c r="H23">
        <v>1616</v>
      </c>
      <c r="I23">
        <v>38.01</v>
      </c>
      <c r="J23" t="s">
        <v>31</v>
      </c>
      <c r="K23">
        <v>600</v>
      </c>
      <c r="L23" t="s">
        <v>32</v>
      </c>
      <c r="M23">
        <v>6</v>
      </c>
      <c r="N23">
        <v>6</v>
      </c>
      <c r="O23">
        <v>4261</v>
      </c>
      <c r="P23">
        <v>9</v>
      </c>
      <c r="Q23">
        <v>12</v>
      </c>
      <c r="R23">
        <v>892</v>
      </c>
      <c r="S23">
        <v>55</v>
      </c>
      <c r="T23">
        <v>1080</v>
      </c>
      <c r="U23">
        <v>0.49018600000000001</v>
      </c>
      <c r="V23">
        <v>4.8148000000000003E-2</v>
      </c>
      <c r="W23">
        <v>3.189E-3</v>
      </c>
      <c r="X23">
        <v>2.4239999999999999E-3</v>
      </c>
      <c r="Y23">
        <v>0.54401500000000003</v>
      </c>
      <c r="Z23">
        <v>0</v>
      </c>
      <c r="AA23">
        <v>0</v>
      </c>
      <c r="AB23">
        <v>0</v>
      </c>
      <c r="AC23">
        <v>0</v>
      </c>
    </row>
    <row r="24" spans="1:29" x14ac:dyDescent="0.2">
      <c r="A24" t="s">
        <v>29</v>
      </c>
      <c r="B24" t="s">
        <v>30</v>
      </c>
      <c r="C24">
        <v>6400</v>
      </c>
      <c r="D24">
        <v>2148</v>
      </c>
      <c r="E24">
        <v>33.56</v>
      </c>
      <c r="F24">
        <v>4252</v>
      </c>
      <c r="G24">
        <v>66.44</v>
      </c>
      <c r="H24">
        <v>1616</v>
      </c>
      <c r="I24">
        <v>38.01</v>
      </c>
      <c r="J24" t="s">
        <v>31</v>
      </c>
      <c r="K24">
        <v>600</v>
      </c>
      <c r="L24" t="s">
        <v>32</v>
      </c>
      <c r="M24">
        <v>6</v>
      </c>
      <c r="N24">
        <v>6</v>
      </c>
      <c r="O24">
        <v>4302</v>
      </c>
      <c r="P24">
        <v>50</v>
      </c>
      <c r="Q24">
        <v>12</v>
      </c>
      <c r="R24">
        <v>892</v>
      </c>
      <c r="S24">
        <v>80</v>
      </c>
      <c r="T24">
        <v>1080</v>
      </c>
      <c r="U24">
        <v>0.43436399999999997</v>
      </c>
      <c r="V24">
        <v>4.7343000000000003E-2</v>
      </c>
      <c r="W24">
        <v>3.107E-3</v>
      </c>
      <c r="X24">
        <v>7.3109999999999998E-3</v>
      </c>
      <c r="Y24">
        <v>0.49218499999999998</v>
      </c>
      <c r="Z24">
        <v>0</v>
      </c>
      <c r="AA24">
        <v>0</v>
      </c>
      <c r="AB24">
        <v>0</v>
      </c>
      <c r="AC24">
        <v>0</v>
      </c>
    </row>
    <row r="25" spans="1:29" x14ac:dyDescent="0.2">
      <c r="A25" t="s">
        <v>29</v>
      </c>
      <c r="B25" t="s">
        <v>30</v>
      </c>
      <c r="C25">
        <v>6400</v>
      </c>
      <c r="D25">
        <v>2148</v>
      </c>
      <c r="E25">
        <v>33.56</v>
      </c>
      <c r="F25">
        <v>4252</v>
      </c>
      <c r="G25">
        <v>66.44</v>
      </c>
      <c r="H25">
        <v>1616</v>
      </c>
      <c r="I25">
        <v>38.01</v>
      </c>
      <c r="J25" t="s">
        <v>31</v>
      </c>
      <c r="K25">
        <v>600</v>
      </c>
      <c r="L25" t="s">
        <v>32</v>
      </c>
      <c r="M25">
        <v>6</v>
      </c>
      <c r="N25">
        <v>6</v>
      </c>
      <c r="O25">
        <v>4306</v>
      </c>
      <c r="P25">
        <v>54</v>
      </c>
      <c r="Q25">
        <v>12</v>
      </c>
      <c r="R25">
        <v>892</v>
      </c>
      <c r="S25">
        <v>68</v>
      </c>
      <c r="T25">
        <v>1080</v>
      </c>
      <c r="U25">
        <v>0.57564000000000004</v>
      </c>
      <c r="V25">
        <v>4.7072000000000003E-2</v>
      </c>
      <c r="W25">
        <v>3.0950000000000001E-3</v>
      </c>
      <c r="X25">
        <v>6.2160000000000002E-3</v>
      </c>
      <c r="Y25">
        <v>0.63208500000000001</v>
      </c>
      <c r="Z25">
        <v>0</v>
      </c>
      <c r="AA25">
        <v>0</v>
      </c>
      <c r="AB25">
        <v>0</v>
      </c>
      <c r="AC25">
        <v>0</v>
      </c>
    </row>
    <row r="26" spans="1:29" x14ac:dyDescent="0.2">
      <c r="A26" t="s">
        <v>29</v>
      </c>
      <c r="B26" t="s">
        <v>30</v>
      </c>
      <c r="C26">
        <v>6400</v>
      </c>
      <c r="D26">
        <v>2148</v>
      </c>
      <c r="E26">
        <v>33.56</v>
      </c>
      <c r="F26">
        <v>4252</v>
      </c>
      <c r="G26">
        <v>66.44</v>
      </c>
      <c r="H26">
        <v>1616</v>
      </c>
      <c r="I26">
        <v>38.01</v>
      </c>
      <c r="J26" t="s">
        <v>31</v>
      </c>
      <c r="K26">
        <v>600</v>
      </c>
      <c r="L26" t="s">
        <v>32</v>
      </c>
      <c r="M26">
        <v>6</v>
      </c>
      <c r="N26">
        <v>6</v>
      </c>
      <c r="O26">
        <v>4276</v>
      </c>
      <c r="P26">
        <v>24</v>
      </c>
      <c r="Q26">
        <v>12</v>
      </c>
      <c r="R26">
        <v>892</v>
      </c>
      <c r="S26">
        <v>75</v>
      </c>
      <c r="T26">
        <v>1080</v>
      </c>
      <c r="U26">
        <v>0.41631600000000002</v>
      </c>
      <c r="V26">
        <v>4.7765000000000002E-2</v>
      </c>
      <c r="W26">
        <v>3.1779999999999998E-3</v>
      </c>
      <c r="X26">
        <v>6.7010000000000004E-3</v>
      </c>
      <c r="Y26">
        <v>0.47403600000000001</v>
      </c>
      <c r="Z26">
        <v>0</v>
      </c>
      <c r="AA26">
        <v>0</v>
      </c>
      <c r="AB26">
        <v>0</v>
      </c>
      <c r="AC26">
        <v>0</v>
      </c>
    </row>
    <row r="27" spans="1:29" x14ac:dyDescent="0.2">
      <c r="A27" t="s">
        <v>29</v>
      </c>
      <c r="B27" t="s">
        <v>30</v>
      </c>
      <c r="C27">
        <v>6400</v>
      </c>
      <c r="D27">
        <v>2148</v>
      </c>
      <c r="E27">
        <v>33.56</v>
      </c>
      <c r="F27">
        <v>4252</v>
      </c>
      <c r="G27">
        <v>66.44</v>
      </c>
      <c r="H27">
        <v>1616</v>
      </c>
      <c r="I27">
        <v>38.01</v>
      </c>
      <c r="J27" t="s">
        <v>31</v>
      </c>
      <c r="K27">
        <v>600</v>
      </c>
      <c r="L27" t="s">
        <v>32</v>
      </c>
      <c r="M27">
        <v>6</v>
      </c>
      <c r="N27">
        <v>6</v>
      </c>
      <c r="O27">
        <v>4421</v>
      </c>
      <c r="P27">
        <v>169</v>
      </c>
      <c r="Q27">
        <v>12</v>
      </c>
      <c r="R27">
        <v>892</v>
      </c>
      <c r="S27">
        <v>80</v>
      </c>
      <c r="T27">
        <v>1080</v>
      </c>
      <c r="U27">
        <v>0.37534499999999998</v>
      </c>
      <c r="V27">
        <v>4.8986000000000002E-2</v>
      </c>
      <c r="W27">
        <v>3.1350000000000002E-3</v>
      </c>
      <c r="X27">
        <v>1.0064999999999999E-2</v>
      </c>
      <c r="Y27">
        <v>0.43762299999999998</v>
      </c>
      <c r="Z27">
        <v>0</v>
      </c>
      <c r="AA27">
        <v>0</v>
      </c>
      <c r="AB27">
        <v>0</v>
      </c>
      <c r="AC27">
        <v>0</v>
      </c>
    </row>
    <row r="28" spans="1:29" x14ac:dyDescent="0.2">
      <c r="A28" t="s">
        <v>29</v>
      </c>
      <c r="B28" t="s">
        <v>30</v>
      </c>
      <c r="C28">
        <v>6400</v>
      </c>
      <c r="D28">
        <v>2148</v>
      </c>
      <c r="E28">
        <v>33.56</v>
      </c>
      <c r="F28">
        <v>4252</v>
      </c>
      <c r="G28">
        <v>66.44</v>
      </c>
      <c r="H28">
        <v>1616</v>
      </c>
      <c r="I28">
        <v>38.01</v>
      </c>
      <c r="J28" t="s">
        <v>31</v>
      </c>
      <c r="K28">
        <v>600</v>
      </c>
      <c r="L28" t="s">
        <v>32</v>
      </c>
      <c r="M28">
        <v>6</v>
      </c>
      <c r="N28">
        <v>6</v>
      </c>
      <c r="O28">
        <v>4383</v>
      </c>
      <c r="P28">
        <v>131</v>
      </c>
      <c r="Q28">
        <v>12</v>
      </c>
      <c r="R28">
        <v>892</v>
      </c>
      <c r="S28">
        <v>78</v>
      </c>
      <c r="T28">
        <v>1080</v>
      </c>
      <c r="U28">
        <v>0.48414800000000002</v>
      </c>
      <c r="V28">
        <v>4.6448999999999997E-2</v>
      </c>
      <c r="W28">
        <v>3.075E-3</v>
      </c>
      <c r="X28">
        <v>5.5110000000000003E-3</v>
      </c>
      <c r="Y28">
        <v>0.539242</v>
      </c>
      <c r="Z28">
        <v>0</v>
      </c>
      <c r="AA28">
        <v>0</v>
      </c>
      <c r="AB28">
        <v>0</v>
      </c>
      <c r="AC28">
        <v>0</v>
      </c>
    </row>
    <row r="29" spans="1:29" x14ac:dyDescent="0.2">
      <c r="A29" t="s">
        <v>29</v>
      </c>
      <c r="B29" t="s">
        <v>30</v>
      </c>
      <c r="C29">
        <v>6400</v>
      </c>
      <c r="D29">
        <v>2148</v>
      </c>
      <c r="E29">
        <v>33.56</v>
      </c>
      <c r="F29">
        <v>4252</v>
      </c>
      <c r="G29">
        <v>66.44</v>
      </c>
      <c r="H29">
        <v>1616</v>
      </c>
      <c r="I29">
        <v>38.01</v>
      </c>
      <c r="J29" t="s">
        <v>31</v>
      </c>
      <c r="K29">
        <v>600</v>
      </c>
      <c r="L29" t="s">
        <v>32</v>
      </c>
      <c r="M29">
        <v>6</v>
      </c>
      <c r="N29">
        <v>6</v>
      </c>
      <c r="O29">
        <v>4262</v>
      </c>
      <c r="P29">
        <v>10</v>
      </c>
      <c r="Q29">
        <v>12</v>
      </c>
      <c r="R29">
        <v>892</v>
      </c>
      <c r="S29">
        <v>68</v>
      </c>
      <c r="T29">
        <v>1080</v>
      </c>
      <c r="U29">
        <v>0.51350600000000002</v>
      </c>
      <c r="V29">
        <v>4.7050000000000002E-2</v>
      </c>
      <c r="W29">
        <v>3.0890000000000002E-3</v>
      </c>
      <c r="X29">
        <v>5.032E-3</v>
      </c>
      <c r="Y29">
        <v>0.56874000000000002</v>
      </c>
      <c r="Z29">
        <v>0</v>
      </c>
      <c r="AA29">
        <v>0</v>
      </c>
      <c r="AB29">
        <v>0</v>
      </c>
      <c r="AC29">
        <v>0</v>
      </c>
    </row>
    <row r="30" spans="1:29" x14ac:dyDescent="0.2">
      <c r="A30" t="s">
        <v>29</v>
      </c>
      <c r="B30" t="s">
        <v>30</v>
      </c>
      <c r="C30">
        <v>6400</v>
      </c>
      <c r="D30">
        <v>2148</v>
      </c>
      <c r="E30">
        <v>33.56</v>
      </c>
      <c r="F30">
        <v>4252</v>
      </c>
      <c r="G30">
        <v>66.44</v>
      </c>
      <c r="H30">
        <v>1616</v>
      </c>
      <c r="I30">
        <v>38.01</v>
      </c>
      <c r="J30" t="s">
        <v>31</v>
      </c>
      <c r="K30">
        <v>600</v>
      </c>
      <c r="L30" t="s">
        <v>32</v>
      </c>
      <c r="M30">
        <v>6</v>
      </c>
      <c r="N30">
        <v>6</v>
      </c>
      <c r="O30">
        <v>4305</v>
      </c>
      <c r="P30">
        <v>53</v>
      </c>
      <c r="Q30">
        <v>12</v>
      </c>
      <c r="R30">
        <v>892</v>
      </c>
      <c r="S30">
        <v>71</v>
      </c>
      <c r="T30">
        <v>1080</v>
      </c>
      <c r="U30">
        <v>0.59558199999999994</v>
      </c>
      <c r="V30">
        <v>4.6762999999999999E-2</v>
      </c>
      <c r="W30">
        <v>3.1770000000000001E-3</v>
      </c>
      <c r="X30">
        <v>5.2519999999999997E-3</v>
      </c>
      <c r="Y30">
        <v>0.65083400000000002</v>
      </c>
      <c r="Z30">
        <v>0</v>
      </c>
      <c r="AA30">
        <v>0</v>
      </c>
      <c r="AB30">
        <v>0</v>
      </c>
      <c r="AC30">
        <v>0</v>
      </c>
    </row>
    <row r="31" spans="1:29" x14ac:dyDescent="0.2">
      <c r="A31" t="s">
        <v>29</v>
      </c>
      <c r="B31" t="s">
        <v>30</v>
      </c>
      <c r="C31">
        <v>6400</v>
      </c>
      <c r="D31">
        <v>2148</v>
      </c>
      <c r="E31">
        <v>33.56</v>
      </c>
      <c r="F31">
        <v>4252</v>
      </c>
      <c r="G31">
        <v>66.44</v>
      </c>
      <c r="H31">
        <v>1616</v>
      </c>
      <c r="I31">
        <v>38.01</v>
      </c>
      <c r="J31" t="s">
        <v>31</v>
      </c>
      <c r="K31">
        <v>600</v>
      </c>
      <c r="L31" t="s">
        <v>32</v>
      </c>
      <c r="M31">
        <v>6</v>
      </c>
      <c r="N31">
        <v>6</v>
      </c>
      <c r="O31">
        <v>4272</v>
      </c>
      <c r="P31">
        <v>20</v>
      </c>
      <c r="Q31">
        <v>12</v>
      </c>
      <c r="R31">
        <v>892</v>
      </c>
      <c r="S31">
        <v>69</v>
      </c>
      <c r="T31">
        <v>1080</v>
      </c>
      <c r="U31">
        <v>0.38316600000000001</v>
      </c>
      <c r="V31">
        <v>4.8242E-2</v>
      </c>
      <c r="W31">
        <v>3.1359999999999999E-3</v>
      </c>
      <c r="X31">
        <v>5.202E-3</v>
      </c>
      <c r="Y31">
        <v>0.439805</v>
      </c>
      <c r="Z31">
        <v>0</v>
      </c>
      <c r="AA31">
        <v>0</v>
      </c>
      <c r="AB31">
        <v>0</v>
      </c>
      <c r="AC31">
        <v>0</v>
      </c>
    </row>
    <row r="32" spans="1:29" x14ac:dyDescent="0.2">
      <c r="A32" t="s">
        <v>29</v>
      </c>
      <c r="B32" t="s">
        <v>30</v>
      </c>
      <c r="C32">
        <v>6400</v>
      </c>
      <c r="D32">
        <v>2148</v>
      </c>
      <c r="E32">
        <v>33.56</v>
      </c>
      <c r="F32">
        <v>4252</v>
      </c>
      <c r="G32">
        <v>66.44</v>
      </c>
      <c r="H32">
        <v>1616</v>
      </c>
      <c r="I32">
        <v>38.01</v>
      </c>
      <c r="J32" t="s">
        <v>31</v>
      </c>
      <c r="K32">
        <v>600</v>
      </c>
      <c r="L32" t="s">
        <v>32</v>
      </c>
      <c r="M32">
        <v>6</v>
      </c>
      <c r="N32">
        <v>6</v>
      </c>
      <c r="O32">
        <v>4328</v>
      </c>
      <c r="P32">
        <v>76</v>
      </c>
      <c r="Q32">
        <v>12</v>
      </c>
      <c r="R32">
        <v>892</v>
      </c>
      <c r="S32">
        <v>74</v>
      </c>
      <c r="T32">
        <v>1080</v>
      </c>
      <c r="U32">
        <v>0.59967499999999996</v>
      </c>
      <c r="V32">
        <v>4.8342999999999997E-2</v>
      </c>
      <c r="W32">
        <v>3.0560000000000001E-3</v>
      </c>
      <c r="X32">
        <v>8.5699999999999995E-3</v>
      </c>
      <c r="Y32">
        <v>0.65970899999999999</v>
      </c>
      <c r="Z32">
        <v>0</v>
      </c>
      <c r="AA32">
        <v>0</v>
      </c>
      <c r="AB32">
        <v>0</v>
      </c>
      <c r="AC32">
        <v>0</v>
      </c>
    </row>
    <row r="33" spans="1:29" x14ac:dyDescent="0.2">
      <c r="A33" t="s">
        <v>29</v>
      </c>
      <c r="B33" t="s">
        <v>30</v>
      </c>
      <c r="C33">
        <v>6400</v>
      </c>
      <c r="D33">
        <v>2148</v>
      </c>
      <c r="E33">
        <v>33.56</v>
      </c>
      <c r="F33">
        <v>4252</v>
      </c>
      <c r="G33">
        <v>66.44</v>
      </c>
      <c r="H33">
        <v>1616</v>
      </c>
      <c r="I33">
        <v>38.01</v>
      </c>
      <c r="J33" t="s">
        <v>31</v>
      </c>
      <c r="K33">
        <v>600</v>
      </c>
      <c r="L33" t="s">
        <v>32</v>
      </c>
      <c r="M33">
        <v>6</v>
      </c>
      <c r="N33">
        <v>6</v>
      </c>
      <c r="O33">
        <v>4270</v>
      </c>
      <c r="P33">
        <v>18</v>
      </c>
      <c r="Q33">
        <v>12</v>
      </c>
      <c r="R33">
        <v>892</v>
      </c>
      <c r="S33">
        <v>67</v>
      </c>
      <c r="T33">
        <v>1080</v>
      </c>
      <c r="U33">
        <v>0.409719</v>
      </c>
      <c r="V33">
        <v>4.6801000000000002E-2</v>
      </c>
      <c r="W33">
        <v>3.1229999999999999E-3</v>
      </c>
      <c r="X33">
        <v>7.5050000000000004E-3</v>
      </c>
      <c r="Y33">
        <v>0.46720800000000001</v>
      </c>
      <c r="Z33">
        <v>0</v>
      </c>
      <c r="AA33">
        <v>0</v>
      </c>
      <c r="AB33">
        <v>0</v>
      </c>
      <c r="AC33">
        <v>0</v>
      </c>
    </row>
    <row r="34" spans="1:29" x14ac:dyDescent="0.2">
      <c r="A34" t="s">
        <v>29</v>
      </c>
      <c r="B34" t="s">
        <v>30</v>
      </c>
      <c r="C34">
        <v>6400</v>
      </c>
      <c r="D34">
        <v>2148</v>
      </c>
      <c r="E34">
        <v>33.56</v>
      </c>
      <c r="F34">
        <v>4252</v>
      </c>
      <c r="G34">
        <v>66.44</v>
      </c>
      <c r="H34">
        <v>1616</v>
      </c>
      <c r="I34">
        <v>38.01</v>
      </c>
      <c r="J34" t="s">
        <v>31</v>
      </c>
      <c r="K34">
        <v>600</v>
      </c>
      <c r="L34" t="s">
        <v>32</v>
      </c>
      <c r="M34">
        <v>6</v>
      </c>
      <c r="N34">
        <v>6</v>
      </c>
      <c r="O34">
        <v>4332</v>
      </c>
      <c r="P34">
        <v>80</v>
      </c>
      <c r="Q34">
        <v>12</v>
      </c>
      <c r="R34">
        <v>892</v>
      </c>
      <c r="S34">
        <v>74</v>
      </c>
      <c r="T34">
        <v>1080</v>
      </c>
      <c r="U34">
        <v>0.60039900000000002</v>
      </c>
      <c r="V34">
        <v>4.8711999999999998E-2</v>
      </c>
      <c r="W34">
        <v>3.0460000000000001E-3</v>
      </c>
      <c r="X34">
        <v>5.8910000000000004E-3</v>
      </c>
      <c r="Y34">
        <v>0.65812999999999999</v>
      </c>
      <c r="Z34">
        <v>0</v>
      </c>
      <c r="AA34">
        <v>0</v>
      </c>
      <c r="AB34">
        <v>0</v>
      </c>
      <c r="AC34">
        <v>0</v>
      </c>
    </row>
    <row r="35" spans="1:29" x14ac:dyDescent="0.2">
      <c r="A35" t="s">
        <v>29</v>
      </c>
      <c r="B35" t="s">
        <v>30</v>
      </c>
      <c r="C35">
        <v>6400</v>
      </c>
      <c r="D35">
        <v>2148</v>
      </c>
      <c r="E35">
        <v>33.56</v>
      </c>
      <c r="F35">
        <v>4252</v>
      </c>
      <c r="G35">
        <v>66.44</v>
      </c>
      <c r="H35">
        <v>1616</v>
      </c>
      <c r="I35">
        <v>38.01</v>
      </c>
      <c r="J35" t="s">
        <v>31</v>
      </c>
      <c r="K35">
        <v>600</v>
      </c>
      <c r="L35" t="s">
        <v>32</v>
      </c>
      <c r="M35">
        <v>6</v>
      </c>
      <c r="N35">
        <v>6</v>
      </c>
      <c r="O35">
        <v>4279</v>
      </c>
      <c r="P35">
        <v>27</v>
      </c>
      <c r="Q35">
        <v>12</v>
      </c>
      <c r="R35">
        <v>892</v>
      </c>
      <c r="S35">
        <v>74</v>
      </c>
      <c r="T35">
        <v>1080</v>
      </c>
      <c r="U35">
        <v>0.64724499999999996</v>
      </c>
      <c r="V35">
        <v>4.7577000000000001E-2</v>
      </c>
      <c r="W35">
        <v>3.1329999999999999E-3</v>
      </c>
      <c r="X35">
        <v>1.1689E-2</v>
      </c>
      <c r="Y35">
        <v>0.70970500000000003</v>
      </c>
      <c r="Z35">
        <v>0</v>
      </c>
      <c r="AA35">
        <v>0</v>
      </c>
      <c r="AB35">
        <v>0</v>
      </c>
      <c r="AC35">
        <v>0</v>
      </c>
    </row>
    <row r="36" spans="1:29" x14ac:dyDescent="0.2">
      <c r="A36" t="s">
        <v>29</v>
      </c>
      <c r="B36" t="s">
        <v>30</v>
      </c>
      <c r="C36">
        <v>6400</v>
      </c>
      <c r="D36">
        <v>2148</v>
      </c>
      <c r="E36">
        <v>33.56</v>
      </c>
      <c r="F36">
        <v>4252</v>
      </c>
      <c r="G36">
        <v>66.44</v>
      </c>
      <c r="H36">
        <v>1616</v>
      </c>
      <c r="I36">
        <v>38.01</v>
      </c>
      <c r="J36" t="s">
        <v>31</v>
      </c>
      <c r="K36">
        <v>600</v>
      </c>
      <c r="L36" t="s">
        <v>32</v>
      </c>
      <c r="M36">
        <v>6</v>
      </c>
      <c r="N36">
        <v>6</v>
      </c>
      <c r="O36">
        <v>4282</v>
      </c>
      <c r="P36">
        <v>30</v>
      </c>
      <c r="Q36">
        <v>12</v>
      </c>
      <c r="R36">
        <v>892</v>
      </c>
      <c r="S36">
        <v>77</v>
      </c>
      <c r="T36">
        <v>1080</v>
      </c>
      <c r="U36">
        <v>0.323434</v>
      </c>
      <c r="V36">
        <v>4.6648000000000002E-2</v>
      </c>
      <c r="W36">
        <v>3.0959999999999998E-3</v>
      </c>
      <c r="X36">
        <v>5.9709999999999997E-3</v>
      </c>
      <c r="Y36">
        <v>0.37920799999999999</v>
      </c>
      <c r="Z36">
        <v>0</v>
      </c>
      <c r="AA36">
        <v>0</v>
      </c>
      <c r="AB36">
        <v>0</v>
      </c>
      <c r="AC36">
        <v>0</v>
      </c>
    </row>
    <row r="37" spans="1:29" x14ac:dyDescent="0.2">
      <c r="A37" t="s">
        <v>29</v>
      </c>
      <c r="B37" t="s">
        <v>30</v>
      </c>
      <c r="C37">
        <v>6400</v>
      </c>
      <c r="D37">
        <v>2148</v>
      </c>
      <c r="E37">
        <v>33.56</v>
      </c>
      <c r="F37">
        <v>4252</v>
      </c>
      <c r="G37">
        <v>66.44</v>
      </c>
      <c r="H37">
        <v>1616</v>
      </c>
      <c r="I37">
        <v>38.01</v>
      </c>
      <c r="J37" t="s">
        <v>31</v>
      </c>
      <c r="K37">
        <v>600</v>
      </c>
      <c r="L37" t="s">
        <v>32</v>
      </c>
      <c r="M37">
        <v>6</v>
      </c>
      <c r="N37">
        <v>6</v>
      </c>
      <c r="O37">
        <v>4290</v>
      </c>
      <c r="P37">
        <v>38</v>
      </c>
      <c r="Q37">
        <v>12</v>
      </c>
      <c r="R37">
        <v>892</v>
      </c>
      <c r="S37">
        <v>70</v>
      </c>
      <c r="T37">
        <v>1080</v>
      </c>
      <c r="U37">
        <v>0.36161100000000002</v>
      </c>
      <c r="V37">
        <v>4.6891000000000002E-2</v>
      </c>
      <c r="W37">
        <v>3.1110000000000001E-3</v>
      </c>
      <c r="X37">
        <v>3.7729999999999999E-3</v>
      </c>
      <c r="Y37">
        <v>0.41544300000000001</v>
      </c>
      <c r="Z37">
        <v>0</v>
      </c>
      <c r="AA37">
        <v>0</v>
      </c>
      <c r="AB37">
        <v>0</v>
      </c>
      <c r="AC37">
        <v>0</v>
      </c>
    </row>
    <row r="38" spans="1:29" x14ac:dyDescent="0.2">
      <c r="A38" t="s">
        <v>29</v>
      </c>
      <c r="B38" t="s">
        <v>30</v>
      </c>
      <c r="C38">
        <v>6400</v>
      </c>
      <c r="D38">
        <v>2148</v>
      </c>
      <c r="E38">
        <v>33.56</v>
      </c>
      <c r="F38">
        <v>4252</v>
      </c>
      <c r="G38">
        <v>66.44</v>
      </c>
      <c r="H38">
        <v>1616</v>
      </c>
      <c r="I38">
        <v>38.01</v>
      </c>
      <c r="J38" t="s">
        <v>31</v>
      </c>
      <c r="K38">
        <v>600</v>
      </c>
      <c r="L38" t="s">
        <v>32</v>
      </c>
      <c r="M38">
        <v>6</v>
      </c>
      <c r="N38">
        <v>6</v>
      </c>
      <c r="O38">
        <v>4370</v>
      </c>
      <c r="P38">
        <v>118</v>
      </c>
      <c r="Q38">
        <v>12</v>
      </c>
      <c r="R38">
        <v>892</v>
      </c>
      <c r="S38">
        <v>80</v>
      </c>
      <c r="T38">
        <v>1080</v>
      </c>
      <c r="U38">
        <v>0.29932199999999998</v>
      </c>
      <c r="V38">
        <v>4.7132E-2</v>
      </c>
      <c r="W38">
        <v>3.1679999999999998E-3</v>
      </c>
      <c r="X38">
        <v>8.5120000000000005E-3</v>
      </c>
      <c r="Y38">
        <v>0.35819299999999998</v>
      </c>
      <c r="Z38">
        <v>0</v>
      </c>
      <c r="AA38">
        <v>0</v>
      </c>
      <c r="AB38">
        <v>0</v>
      </c>
      <c r="AC38">
        <v>0</v>
      </c>
    </row>
    <row r="39" spans="1:29" x14ac:dyDescent="0.2">
      <c r="A39" t="s">
        <v>29</v>
      </c>
      <c r="B39" t="s">
        <v>30</v>
      </c>
      <c r="C39">
        <v>6400</v>
      </c>
      <c r="D39">
        <v>2148</v>
      </c>
      <c r="E39">
        <v>33.56</v>
      </c>
      <c r="F39">
        <v>4252</v>
      </c>
      <c r="G39">
        <v>66.44</v>
      </c>
      <c r="H39">
        <v>1616</v>
      </c>
      <c r="I39">
        <v>38.01</v>
      </c>
      <c r="J39" t="s">
        <v>31</v>
      </c>
      <c r="K39">
        <v>600</v>
      </c>
      <c r="L39" t="s">
        <v>32</v>
      </c>
      <c r="M39">
        <v>6</v>
      </c>
      <c r="N39">
        <v>6</v>
      </c>
      <c r="O39">
        <v>4278</v>
      </c>
      <c r="P39">
        <v>26</v>
      </c>
      <c r="Q39">
        <v>12</v>
      </c>
      <c r="R39">
        <v>892</v>
      </c>
      <c r="S39">
        <v>66</v>
      </c>
      <c r="T39">
        <v>1080</v>
      </c>
      <c r="U39">
        <v>0.49822300000000003</v>
      </c>
      <c r="V39">
        <v>4.8086999999999998E-2</v>
      </c>
      <c r="W39">
        <v>3.1089999999999998E-3</v>
      </c>
      <c r="X39">
        <v>8.3909999999999992E-3</v>
      </c>
      <c r="Y39">
        <v>0.55786800000000003</v>
      </c>
      <c r="Z39">
        <v>0</v>
      </c>
      <c r="AA39">
        <v>0</v>
      </c>
      <c r="AB39">
        <v>0</v>
      </c>
      <c r="AC39">
        <v>0</v>
      </c>
    </row>
    <row r="40" spans="1:29" x14ac:dyDescent="0.2">
      <c r="A40" t="s">
        <v>29</v>
      </c>
      <c r="B40" t="s">
        <v>30</v>
      </c>
      <c r="C40">
        <v>6400</v>
      </c>
      <c r="D40">
        <v>2148</v>
      </c>
      <c r="E40">
        <v>33.56</v>
      </c>
      <c r="F40">
        <v>4252</v>
      </c>
      <c r="G40">
        <v>66.44</v>
      </c>
      <c r="H40">
        <v>1616</v>
      </c>
      <c r="I40">
        <v>38.01</v>
      </c>
      <c r="J40" t="s">
        <v>31</v>
      </c>
      <c r="K40">
        <v>600</v>
      </c>
      <c r="L40" t="s">
        <v>32</v>
      </c>
      <c r="M40">
        <v>6</v>
      </c>
      <c r="N40">
        <v>6</v>
      </c>
      <c r="O40">
        <v>4332</v>
      </c>
      <c r="P40">
        <v>80</v>
      </c>
      <c r="Q40">
        <v>12</v>
      </c>
      <c r="R40">
        <v>892</v>
      </c>
      <c r="S40">
        <v>74</v>
      </c>
      <c r="T40">
        <v>1080</v>
      </c>
      <c r="U40">
        <v>0.34338800000000003</v>
      </c>
      <c r="V40">
        <v>4.7829999999999998E-2</v>
      </c>
      <c r="W40">
        <v>3.0999999999999999E-3</v>
      </c>
      <c r="X40">
        <v>9.4059999999999994E-3</v>
      </c>
      <c r="Y40">
        <v>0.40378199999999997</v>
      </c>
      <c r="Z40">
        <v>0</v>
      </c>
      <c r="AA40">
        <v>0</v>
      </c>
      <c r="AB40">
        <v>0</v>
      </c>
      <c r="AC40">
        <v>0</v>
      </c>
    </row>
    <row r="41" spans="1:29" x14ac:dyDescent="0.2">
      <c r="A41" t="s">
        <v>29</v>
      </c>
      <c r="B41" t="s">
        <v>30</v>
      </c>
      <c r="C41">
        <v>6400</v>
      </c>
      <c r="D41">
        <v>2148</v>
      </c>
      <c r="E41">
        <v>33.56</v>
      </c>
      <c r="F41">
        <v>4252</v>
      </c>
      <c r="G41">
        <v>66.44</v>
      </c>
      <c r="H41">
        <v>1616</v>
      </c>
      <c r="I41">
        <v>38.01</v>
      </c>
      <c r="J41" t="s">
        <v>31</v>
      </c>
      <c r="K41">
        <v>600</v>
      </c>
      <c r="L41" t="s">
        <v>32</v>
      </c>
      <c r="M41">
        <v>6</v>
      </c>
      <c r="N41">
        <v>6</v>
      </c>
      <c r="O41">
        <v>4319</v>
      </c>
      <c r="P41">
        <v>67</v>
      </c>
      <c r="Q41">
        <v>12</v>
      </c>
      <c r="R41">
        <v>892</v>
      </c>
      <c r="S41">
        <v>76</v>
      </c>
      <c r="T41">
        <v>1080</v>
      </c>
      <c r="U41">
        <v>0.428263</v>
      </c>
      <c r="V41">
        <v>4.6810999999999998E-2</v>
      </c>
      <c r="W41">
        <v>3.0730000000000002E-3</v>
      </c>
      <c r="X41">
        <v>6.5440000000000003E-3</v>
      </c>
      <c r="Y41">
        <v>0.48474899999999999</v>
      </c>
      <c r="Z41">
        <v>0</v>
      </c>
      <c r="AA41">
        <v>0</v>
      </c>
      <c r="AB41">
        <v>0</v>
      </c>
      <c r="AC41">
        <v>0</v>
      </c>
    </row>
    <row r="42" spans="1:29" x14ac:dyDescent="0.2">
      <c r="A42" t="s">
        <v>29</v>
      </c>
      <c r="B42" t="s">
        <v>30</v>
      </c>
      <c r="C42">
        <v>6400</v>
      </c>
      <c r="D42">
        <v>2148</v>
      </c>
      <c r="E42">
        <v>33.56</v>
      </c>
      <c r="F42">
        <v>4252</v>
      </c>
      <c r="G42">
        <v>66.44</v>
      </c>
      <c r="H42">
        <v>1616</v>
      </c>
      <c r="I42">
        <v>38.01</v>
      </c>
      <c r="J42" t="s">
        <v>31</v>
      </c>
      <c r="K42">
        <v>600</v>
      </c>
      <c r="L42" t="s">
        <v>32</v>
      </c>
      <c r="M42">
        <v>6</v>
      </c>
      <c r="N42">
        <v>6</v>
      </c>
      <c r="O42">
        <v>4292</v>
      </c>
      <c r="P42">
        <v>40</v>
      </c>
      <c r="Q42">
        <v>12</v>
      </c>
      <c r="R42">
        <v>892</v>
      </c>
      <c r="S42">
        <v>73</v>
      </c>
      <c r="T42">
        <v>1080</v>
      </c>
      <c r="U42">
        <v>0.58711100000000005</v>
      </c>
      <c r="V42">
        <v>4.6591E-2</v>
      </c>
      <c r="W42">
        <v>3.1939999999999998E-3</v>
      </c>
      <c r="X42">
        <v>9.3699999999999999E-3</v>
      </c>
      <c r="Y42">
        <v>0.64632299999999998</v>
      </c>
      <c r="Z42">
        <v>0</v>
      </c>
      <c r="AA42">
        <v>0</v>
      </c>
      <c r="AB42">
        <v>0</v>
      </c>
      <c r="AC42">
        <v>0</v>
      </c>
    </row>
    <row r="43" spans="1:29" x14ac:dyDescent="0.2">
      <c r="A43" t="s">
        <v>29</v>
      </c>
      <c r="B43" t="s">
        <v>30</v>
      </c>
      <c r="C43">
        <v>6400</v>
      </c>
      <c r="D43">
        <v>2148</v>
      </c>
      <c r="E43">
        <v>33.56</v>
      </c>
      <c r="F43">
        <v>4252</v>
      </c>
      <c r="G43">
        <v>66.44</v>
      </c>
      <c r="H43">
        <v>1616</v>
      </c>
      <c r="I43">
        <v>38.01</v>
      </c>
      <c r="J43" t="s">
        <v>31</v>
      </c>
      <c r="K43">
        <v>600</v>
      </c>
      <c r="L43" t="s">
        <v>32</v>
      </c>
      <c r="M43">
        <v>6</v>
      </c>
      <c r="N43">
        <v>6</v>
      </c>
      <c r="O43">
        <v>4311</v>
      </c>
      <c r="P43">
        <v>59</v>
      </c>
      <c r="Q43">
        <v>12</v>
      </c>
      <c r="R43">
        <v>892</v>
      </c>
      <c r="S43">
        <v>66</v>
      </c>
      <c r="T43">
        <v>1080</v>
      </c>
      <c r="U43">
        <v>0.64901200000000003</v>
      </c>
      <c r="V43">
        <v>4.7670999999999998E-2</v>
      </c>
      <c r="W43">
        <v>3.117E-3</v>
      </c>
      <c r="X43">
        <v>5.2729999999999999E-3</v>
      </c>
      <c r="Y43">
        <v>0.70512699999999995</v>
      </c>
      <c r="Z43">
        <v>0</v>
      </c>
      <c r="AA43">
        <v>0</v>
      </c>
      <c r="AB43">
        <v>0</v>
      </c>
      <c r="AC43">
        <v>0</v>
      </c>
    </row>
    <row r="44" spans="1:29" x14ac:dyDescent="0.2">
      <c r="A44" t="s">
        <v>29</v>
      </c>
      <c r="B44" t="s">
        <v>30</v>
      </c>
      <c r="C44">
        <v>6400</v>
      </c>
      <c r="D44">
        <v>2148</v>
      </c>
      <c r="E44">
        <v>33.56</v>
      </c>
      <c r="F44">
        <v>4252</v>
      </c>
      <c r="G44">
        <v>66.44</v>
      </c>
      <c r="H44">
        <v>1616</v>
      </c>
      <c r="I44">
        <v>38.01</v>
      </c>
      <c r="J44" t="s">
        <v>31</v>
      </c>
      <c r="K44">
        <v>600</v>
      </c>
      <c r="L44" t="s">
        <v>32</v>
      </c>
      <c r="M44">
        <v>6</v>
      </c>
      <c r="N44">
        <v>6</v>
      </c>
      <c r="O44">
        <v>4297</v>
      </c>
      <c r="P44">
        <v>45</v>
      </c>
      <c r="Q44">
        <v>12</v>
      </c>
      <c r="R44">
        <v>892</v>
      </c>
      <c r="S44">
        <v>70</v>
      </c>
      <c r="T44">
        <v>1080</v>
      </c>
      <c r="U44">
        <v>0.52472300000000005</v>
      </c>
      <c r="V44">
        <v>4.829E-2</v>
      </c>
      <c r="W44">
        <v>3.2179999999999999E-3</v>
      </c>
      <c r="X44">
        <v>6.202E-3</v>
      </c>
      <c r="Y44">
        <v>0.58249200000000001</v>
      </c>
      <c r="Z44">
        <v>0</v>
      </c>
      <c r="AA44">
        <v>0</v>
      </c>
      <c r="AB44">
        <v>0</v>
      </c>
      <c r="AC44">
        <v>0</v>
      </c>
    </row>
    <row r="45" spans="1:29" x14ac:dyDescent="0.2">
      <c r="A45" t="s">
        <v>29</v>
      </c>
      <c r="B45" t="s">
        <v>30</v>
      </c>
      <c r="C45">
        <v>6400</v>
      </c>
      <c r="D45">
        <v>2148</v>
      </c>
      <c r="E45">
        <v>33.56</v>
      </c>
      <c r="F45">
        <v>4252</v>
      </c>
      <c r="G45">
        <v>66.44</v>
      </c>
      <c r="H45">
        <v>1616</v>
      </c>
      <c r="I45">
        <v>38.01</v>
      </c>
      <c r="J45" t="s">
        <v>31</v>
      </c>
      <c r="K45">
        <v>600</v>
      </c>
      <c r="L45" t="s">
        <v>32</v>
      </c>
      <c r="M45">
        <v>6</v>
      </c>
      <c r="N45">
        <v>6</v>
      </c>
      <c r="O45">
        <v>4308</v>
      </c>
      <c r="P45">
        <v>56</v>
      </c>
      <c r="Q45">
        <v>12</v>
      </c>
      <c r="R45">
        <v>892</v>
      </c>
      <c r="S45">
        <v>52</v>
      </c>
      <c r="T45">
        <v>1080</v>
      </c>
      <c r="U45">
        <v>0.44070799999999999</v>
      </c>
      <c r="V45">
        <v>4.7260999999999997E-2</v>
      </c>
      <c r="W45">
        <v>3.1099999999999999E-3</v>
      </c>
      <c r="X45">
        <v>4.5180000000000003E-3</v>
      </c>
      <c r="Y45">
        <v>0.49569000000000002</v>
      </c>
      <c r="Z45">
        <v>0</v>
      </c>
      <c r="AA45">
        <v>0</v>
      </c>
      <c r="AB45">
        <v>0</v>
      </c>
      <c r="AC45">
        <v>0</v>
      </c>
    </row>
    <row r="46" spans="1:29" x14ac:dyDescent="0.2">
      <c r="A46" t="s">
        <v>29</v>
      </c>
      <c r="B46" t="s">
        <v>30</v>
      </c>
      <c r="C46">
        <v>6400</v>
      </c>
      <c r="D46">
        <v>2148</v>
      </c>
      <c r="E46">
        <v>33.56</v>
      </c>
      <c r="F46">
        <v>4252</v>
      </c>
      <c r="G46">
        <v>66.44</v>
      </c>
      <c r="H46">
        <v>1616</v>
      </c>
      <c r="I46">
        <v>38.01</v>
      </c>
      <c r="J46" t="s">
        <v>31</v>
      </c>
      <c r="K46">
        <v>600</v>
      </c>
      <c r="L46" t="s">
        <v>32</v>
      </c>
      <c r="M46">
        <v>6</v>
      </c>
      <c r="N46">
        <v>6</v>
      </c>
      <c r="O46">
        <v>4272</v>
      </c>
      <c r="P46">
        <v>20</v>
      </c>
      <c r="Q46">
        <v>12</v>
      </c>
      <c r="R46">
        <v>892</v>
      </c>
      <c r="S46">
        <v>44</v>
      </c>
      <c r="T46">
        <v>1080</v>
      </c>
      <c r="U46">
        <v>0.35216599999999998</v>
      </c>
      <c r="V46">
        <v>4.6715E-2</v>
      </c>
      <c r="W46">
        <v>3.1259999999999999E-3</v>
      </c>
      <c r="X46">
        <v>3.5720000000000001E-3</v>
      </c>
      <c r="Y46">
        <v>0.40563399999999999</v>
      </c>
      <c r="Z46">
        <v>0</v>
      </c>
      <c r="AA46">
        <v>0</v>
      </c>
      <c r="AB46">
        <v>0</v>
      </c>
      <c r="AC46">
        <v>0</v>
      </c>
    </row>
    <row r="47" spans="1:29" x14ac:dyDescent="0.2">
      <c r="A47" t="s">
        <v>29</v>
      </c>
      <c r="B47" t="s">
        <v>30</v>
      </c>
      <c r="C47">
        <v>6400</v>
      </c>
      <c r="D47">
        <v>2148</v>
      </c>
      <c r="E47">
        <v>33.56</v>
      </c>
      <c r="F47">
        <v>4252</v>
      </c>
      <c r="G47">
        <v>66.44</v>
      </c>
      <c r="H47">
        <v>1616</v>
      </c>
      <c r="I47">
        <v>38.01</v>
      </c>
      <c r="J47" t="s">
        <v>31</v>
      </c>
      <c r="K47">
        <v>600</v>
      </c>
      <c r="L47" t="s">
        <v>32</v>
      </c>
      <c r="M47">
        <v>6</v>
      </c>
      <c r="N47">
        <v>6</v>
      </c>
      <c r="O47">
        <v>4309</v>
      </c>
      <c r="P47">
        <v>57</v>
      </c>
      <c r="Q47">
        <v>12</v>
      </c>
      <c r="R47">
        <v>892</v>
      </c>
      <c r="S47">
        <v>74</v>
      </c>
      <c r="T47">
        <v>1080</v>
      </c>
      <c r="U47">
        <v>0.45546900000000001</v>
      </c>
      <c r="V47">
        <v>4.7882000000000001E-2</v>
      </c>
      <c r="W47">
        <v>3.104E-3</v>
      </c>
      <c r="X47">
        <v>8.2369999999999995E-3</v>
      </c>
      <c r="Y47">
        <v>0.51475099999999996</v>
      </c>
      <c r="Z47">
        <v>0</v>
      </c>
      <c r="AA47">
        <v>0</v>
      </c>
      <c r="AB47">
        <v>0</v>
      </c>
      <c r="AC47">
        <v>0</v>
      </c>
    </row>
    <row r="48" spans="1:29" x14ac:dyDescent="0.2">
      <c r="A48" t="s">
        <v>29</v>
      </c>
      <c r="B48" t="s">
        <v>30</v>
      </c>
      <c r="C48">
        <v>6400</v>
      </c>
      <c r="D48">
        <v>2148</v>
      </c>
      <c r="E48">
        <v>33.56</v>
      </c>
      <c r="F48">
        <v>4252</v>
      </c>
      <c r="G48">
        <v>66.44</v>
      </c>
      <c r="H48">
        <v>1616</v>
      </c>
      <c r="I48">
        <v>38.01</v>
      </c>
      <c r="J48" t="s">
        <v>31</v>
      </c>
      <c r="K48">
        <v>600</v>
      </c>
      <c r="L48" t="s">
        <v>32</v>
      </c>
      <c r="M48">
        <v>6</v>
      </c>
      <c r="N48">
        <v>6</v>
      </c>
      <c r="O48">
        <v>4328</v>
      </c>
      <c r="P48">
        <v>76</v>
      </c>
      <c r="Q48">
        <v>12</v>
      </c>
      <c r="R48">
        <v>892</v>
      </c>
      <c r="S48">
        <v>66</v>
      </c>
      <c r="T48">
        <v>1080</v>
      </c>
      <c r="U48">
        <v>0.32444899999999999</v>
      </c>
      <c r="V48">
        <v>4.8143999999999999E-2</v>
      </c>
      <c r="W48">
        <v>3.1489999999999999E-3</v>
      </c>
      <c r="X48">
        <v>6.1029999999999999E-3</v>
      </c>
      <c r="Y48">
        <v>0.38190099999999999</v>
      </c>
      <c r="Z48">
        <v>0</v>
      </c>
      <c r="AA48">
        <v>0</v>
      </c>
      <c r="AB48">
        <v>0</v>
      </c>
      <c r="AC48">
        <v>0</v>
      </c>
    </row>
    <row r="49" spans="1:29" x14ac:dyDescent="0.2">
      <c r="A49" t="s">
        <v>29</v>
      </c>
      <c r="B49" t="s">
        <v>30</v>
      </c>
      <c r="C49">
        <v>6400</v>
      </c>
      <c r="D49">
        <v>2148</v>
      </c>
      <c r="E49">
        <v>33.56</v>
      </c>
      <c r="F49">
        <v>4252</v>
      </c>
      <c r="G49">
        <v>66.44</v>
      </c>
      <c r="H49">
        <v>1616</v>
      </c>
      <c r="I49">
        <v>38.01</v>
      </c>
      <c r="J49" t="s">
        <v>31</v>
      </c>
      <c r="K49">
        <v>600</v>
      </c>
      <c r="L49" t="s">
        <v>32</v>
      </c>
      <c r="M49">
        <v>6</v>
      </c>
      <c r="N49">
        <v>6</v>
      </c>
      <c r="O49">
        <v>4291</v>
      </c>
      <c r="P49">
        <v>39</v>
      </c>
      <c r="Q49">
        <v>12</v>
      </c>
      <c r="R49">
        <v>892</v>
      </c>
      <c r="S49">
        <v>62</v>
      </c>
      <c r="T49">
        <v>1080</v>
      </c>
      <c r="U49">
        <v>0.69579100000000005</v>
      </c>
      <c r="V49">
        <v>4.6955999999999998E-2</v>
      </c>
      <c r="W49">
        <v>3.1570000000000001E-3</v>
      </c>
      <c r="X49">
        <v>5.1659999999999996E-3</v>
      </c>
      <c r="Y49">
        <v>0.75114199999999998</v>
      </c>
      <c r="Z49">
        <v>0</v>
      </c>
      <c r="AA49">
        <v>0</v>
      </c>
      <c r="AB49">
        <v>0</v>
      </c>
      <c r="AC49">
        <v>0</v>
      </c>
    </row>
    <row r="50" spans="1:29" x14ac:dyDescent="0.2">
      <c r="A50" t="s">
        <v>29</v>
      </c>
      <c r="B50" t="s">
        <v>30</v>
      </c>
      <c r="C50">
        <v>6400</v>
      </c>
      <c r="D50">
        <v>2148</v>
      </c>
      <c r="E50">
        <v>33.56</v>
      </c>
      <c r="F50">
        <v>4252</v>
      </c>
      <c r="G50">
        <v>66.44</v>
      </c>
      <c r="H50">
        <v>1616</v>
      </c>
      <c r="I50">
        <v>38.01</v>
      </c>
      <c r="J50" t="s">
        <v>31</v>
      </c>
      <c r="K50">
        <v>600</v>
      </c>
      <c r="L50" t="s">
        <v>32</v>
      </c>
      <c r="M50">
        <v>6</v>
      </c>
      <c r="N50">
        <v>6</v>
      </c>
      <c r="O50">
        <v>4392</v>
      </c>
      <c r="P50">
        <v>140</v>
      </c>
      <c r="Q50">
        <v>12</v>
      </c>
      <c r="R50">
        <v>892</v>
      </c>
      <c r="S50">
        <v>80</v>
      </c>
      <c r="T50">
        <v>1080</v>
      </c>
      <c r="U50">
        <v>0.55085399999999995</v>
      </c>
      <c r="V50">
        <v>4.6789999999999998E-2</v>
      </c>
      <c r="W50">
        <v>3.2139999999999998E-3</v>
      </c>
      <c r="X50">
        <v>1.1443999999999999E-2</v>
      </c>
      <c r="Y50">
        <v>0.61236100000000004</v>
      </c>
      <c r="Z50">
        <v>0</v>
      </c>
      <c r="AA50">
        <v>0</v>
      </c>
      <c r="AB50">
        <v>0</v>
      </c>
      <c r="AC50">
        <v>0</v>
      </c>
    </row>
    <row r="51" spans="1:29" x14ac:dyDescent="0.2">
      <c r="A51" t="s">
        <v>29</v>
      </c>
      <c r="B51" t="s">
        <v>30</v>
      </c>
      <c r="C51">
        <v>6400</v>
      </c>
      <c r="D51">
        <v>2148</v>
      </c>
      <c r="E51">
        <v>33.56</v>
      </c>
      <c r="F51">
        <v>4252</v>
      </c>
      <c r="G51">
        <v>66.44</v>
      </c>
      <c r="H51">
        <v>1616</v>
      </c>
      <c r="I51">
        <v>38.01</v>
      </c>
      <c r="J51" t="s">
        <v>31</v>
      </c>
      <c r="K51">
        <v>600</v>
      </c>
      <c r="L51" t="s">
        <v>32</v>
      </c>
      <c r="M51">
        <v>6</v>
      </c>
      <c r="N51">
        <v>6</v>
      </c>
      <c r="O51">
        <v>4324</v>
      </c>
      <c r="P51">
        <v>72</v>
      </c>
      <c r="Q51">
        <v>12</v>
      </c>
      <c r="R51">
        <v>892</v>
      </c>
      <c r="S51">
        <v>78</v>
      </c>
      <c r="T51">
        <v>1080</v>
      </c>
      <c r="U51">
        <v>0.57185399999999997</v>
      </c>
      <c r="V51">
        <v>4.7017000000000003E-2</v>
      </c>
      <c r="W51">
        <v>3.0980000000000001E-3</v>
      </c>
      <c r="X51">
        <v>7.2919999999999999E-3</v>
      </c>
      <c r="Y51">
        <v>0.62931999999999999</v>
      </c>
      <c r="Z51">
        <v>0</v>
      </c>
      <c r="AA51">
        <v>0</v>
      </c>
      <c r="AB51">
        <v>0</v>
      </c>
      <c r="AC51">
        <v>0</v>
      </c>
    </row>
    <row r="52" spans="1:29" x14ac:dyDescent="0.2">
      <c r="A52" t="s">
        <v>29</v>
      </c>
      <c r="B52" t="s">
        <v>30</v>
      </c>
      <c r="C52">
        <v>6400</v>
      </c>
      <c r="D52">
        <v>2148</v>
      </c>
      <c r="E52">
        <v>33.56</v>
      </c>
      <c r="F52">
        <v>4252</v>
      </c>
      <c r="G52">
        <v>66.44</v>
      </c>
      <c r="H52">
        <v>1616</v>
      </c>
      <c r="I52">
        <v>38.01</v>
      </c>
      <c r="J52" t="s">
        <v>31</v>
      </c>
      <c r="K52">
        <v>600</v>
      </c>
      <c r="L52" t="s">
        <v>32</v>
      </c>
      <c r="M52">
        <v>6</v>
      </c>
      <c r="N52">
        <v>6</v>
      </c>
      <c r="O52">
        <v>4349</v>
      </c>
      <c r="P52">
        <v>97</v>
      </c>
      <c r="Q52">
        <v>12</v>
      </c>
      <c r="R52">
        <v>892</v>
      </c>
      <c r="S52">
        <v>80</v>
      </c>
      <c r="T52">
        <v>1080</v>
      </c>
      <c r="U52">
        <v>0.36194799999999999</v>
      </c>
      <c r="V52">
        <v>4.8325E-2</v>
      </c>
      <c r="W52">
        <v>3.0479999999999999E-3</v>
      </c>
      <c r="X52">
        <v>9.0600000000000003E-3</v>
      </c>
      <c r="Y52">
        <v>0.42244199999999998</v>
      </c>
      <c r="Z52">
        <v>0</v>
      </c>
      <c r="AA52">
        <v>0</v>
      </c>
      <c r="AB52">
        <v>0</v>
      </c>
      <c r="AC52">
        <v>0</v>
      </c>
    </row>
    <row r="53" spans="1:29" x14ac:dyDescent="0.2">
      <c r="A53" t="s">
        <v>29</v>
      </c>
      <c r="B53" t="s">
        <v>30</v>
      </c>
      <c r="C53">
        <v>6400</v>
      </c>
      <c r="D53">
        <v>2148</v>
      </c>
      <c r="E53">
        <v>33.56</v>
      </c>
      <c r="F53">
        <v>4252</v>
      </c>
      <c r="G53">
        <v>66.44</v>
      </c>
      <c r="H53">
        <v>1616</v>
      </c>
      <c r="I53">
        <v>38.01</v>
      </c>
      <c r="J53" t="s">
        <v>31</v>
      </c>
      <c r="K53">
        <v>600</v>
      </c>
      <c r="L53" t="s">
        <v>32</v>
      </c>
      <c r="M53">
        <v>6</v>
      </c>
      <c r="N53">
        <v>6</v>
      </c>
      <c r="O53">
        <v>4298</v>
      </c>
      <c r="P53">
        <v>46</v>
      </c>
      <c r="Q53">
        <v>12</v>
      </c>
      <c r="R53">
        <v>892</v>
      </c>
      <c r="S53">
        <v>74</v>
      </c>
      <c r="T53">
        <v>1080</v>
      </c>
      <c r="U53">
        <v>0.39616400000000002</v>
      </c>
      <c r="V53">
        <v>4.8266000000000003E-2</v>
      </c>
      <c r="W53">
        <v>3.078E-3</v>
      </c>
      <c r="X53">
        <v>7.9380000000000006E-3</v>
      </c>
      <c r="Y53">
        <v>0.45550499999999999</v>
      </c>
      <c r="Z53">
        <v>0</v>
      </c>
      <c r="AA53">
        <v>0</v>
      </c>
      <c r="AB53">
        <v>0</v>
      </c>
      <c r="AC53">
        <v>0</v>
      </c>
    </row>
    <row r="54" spans="1:29" x14ac:dyDescent="0.2">
      <c r="A54" t="s">
        <v>29</v>
      </c>
      <c r="B54" t="s">
        <v>30</v>
      </c>
      <c r="C54">
        <v>6400</v>
      </c>
      <c r="D54">
        <v>2148</v>
      </c>
      <c r="E54">
        <v>33.56</v>
      </c>
      <c r="F54">
        <v>4252</v>
      </c>
      <c r="G54">
        <v>66.44</v>
      </c>
      <c r="H54">
        <v>1616</v>
      </c>
      <c r="I54">
        <v>38.01</v>
      </c>
      <c r="J54" t="s">
        <v>31</v>
      </c>
      <c r="K54">
        <v>600</v>
      </c>
      <c r="L54" t="s">
        <v>32</v>
      </c>
      <c r="M54">
        <v>6</v>
      </c>
      <c r="N54">
        <v>6</v>
      </c>
      <c r="O54">
        <v>4303</v>
      </c>
      <c r="P54">
        <v>51</v>
      </c>
      <c r="Q54">
        <v>12</v>
      </c>
      <c r="R54">
        <v>892</v>
      </c>
      <c r="S54">
        <v>67</v>
      </c>
      <c r="T54">
        <v>1080</v>
      </c>
      <c r="U54">
        <v>0.83281000000000005</v>
      </c>
      <c r="V54">
        <v>4.6890000000000001E-2</v>
      </c>
      <c r="W54">
        <v>3.1310000000000001E-3</v>
      </c>
      <c r="X54">
        <v>6.0499999999999998E-3</v>
      </c>
      <c r="Y54">
        <v>0.88894200000000001</v>
      </c>
      <c r="Z54">
        <v>0</v>
      </c>
      <c r="AA54">
        <v>0</v>
      </c>
      <c r="AB54">
        <v>0</v>
      </c>
      <c r="AC54">
        <v>0</v>
      </c>
    </row>
    <row r="55" spans="1:29" x14ac:dyDescent="0.2">
      <c r="A55" t="s">
        <v>29</v>
      </c>
      <c r="B55" t="s">
        <v>30</v>
      </c>
      <c r="C55">
        <v>6400</v>
      </c>
      <c r="D55">
        <v>2148</v>
      </c>
      <c r="E55">
        <v>33.56</v>
      </c>
      <c r="F55">
        <v>4252</v>
      </c>
      <c r="G55">
        <v>66.44</v>
      </c>
      <c r="H55">
        <v>1616</v>
      </c>
      <c r="I55">
        <v>38.01</v>
      </c>
      <c r="J55" t="s">
        <v>31</v>
      </c>
      <c r="K55">
        <v>600</v>
      </c>
      <c r="L55" t="s">
        <v>32</v>
      </c>
      <c r="M55">
        <v>6</v>
      </c>
      <c r="N55">
        <v>6</v>
      </c>
      <c r="O55">
        <v>4296</v>
      </c>
      <c r="P55">
        <v>44</v>
      </c>
      <c r="Q55">
        <v>12</v>
      </c>
      <c r="R55">
        <v>892</v>
      </c>
      <c r="S55">
        <v>76</v>
      </c>
      <c r="T55">
        <v>1080</v>
      </c>
      <c r="U55">
        <v>0.32844600000000002</v>
      </c>
      <c r="V55">
        <v>4.6771E-2</v>
      </c>
      <c r="W55">
        <v>3.1120000000000002E-3</v>
      </c>
      <c r="X55">
        <v>7.5900000000000004E-3</v>
      </c>
      <c r="Y55">
        <v>0.385986</v>
      </c>
      <c r="Z55">
        <v>0</v>
      </c>
      <c r="AA55">
        <v>0</v>
      </c>
      <c r="AB55">
        <v>0</v>
      </c>
      <c r="AC55">
        <v>0</v>
      </c>
    </row>
    <row r="56" spans="1:29" x14ac:dyDescent="0.2">
      <c r="A56" t="s">
        <v>29</v>
      </c>
      <c r="B56" t="s">
        <v>30</v>
      </c>
      <c r="C56">
        <v>6400</v>
      </c>
      <c r="D56">
        <v>2148</v>
      </c>
      <c r="E56">
        <v>33.56</v>
      </c>
      <c r="F56">
        <v>4252</v>
      </c>
      <c r="G56">
        <v>66.44</v>
      </c>
      <c r="H56">
        <v>1616</v>
      </c>
      <c r="I56">
        <v>38.01</v>
      </c>
      <c r="J56" t="s">
        <v>31</v>
      </c>
      <c r="K56">
        <v>600</v>
      </c>
      <c r="L56" t="s">
        <v>32</v>
      </c>
      <c r="M56">
        <v>6</v>
      </c>
      <c r="N56">
        <v>6</v>
      </c>
      <c r="O56">
        <v>4294</v>
      </c>
      <c r="P56">
        <v>42</v>
      </c>
      <c r="Q56">
        <v>12</v>
      </c>
      <c r="R56">
        <v>892</v>
      </c>
      <c r="S56">
        <v>68</v>
      </c>
      <c r="T56">
        <v>1080</v>
      </c>
      <c r="U56">
        <v>0.65955399999999997</v>
      </c>
      <c r="V56">
        <v>4.8307000000000003E-2</v>
      </c>
      <c r="W56">
        <v>3.2030000000000001E-3</v>
      </c>
      <c r="X56">
        <v>9.3069999999999993E-3</v>
      </c>
      <c r="Y56">
        <v>0.72042899999999999</v>
      </c>
      <c r="Z56">
        <v>0</v>
      </c>
      <c r="AA56">
        <v>0</v>
      </c>
      <c r="AB56">
        <v>0</v>
      </c>
      <c r="AC56">
        <v>0</v>
      </c>
    </row>
    <row r="57" spans="1:29" x14ac:dyDescent="0.2">
      <c r="A57" t="s">
        <v>29</v>
      </c>
      <c r="B57" t="s">
        <v>30</v>
      </c>
      <c r="C57">
        <v>6400</v>
      </c>
      <c r="D57">
        <v>2148</v>
      </c>
      <c r="E57">
        <v>33.56</v>
      </c>
      <c r="F57">
        <v>4252</v>
      </c>
      <c r="G57">
        <v>66.44</v>
      </c>
      <c r="H57">
        <v>1616</v>
      </c>
      <c r="I57">
        <v>38.01</v>
      </c>
      <c r="J57" t="s">
        <v>31</v>
      </c>
      <c r="K57">
        <v>600</v>
      </c>
      <c r="L57" t="s">
        <v>32</v>
      </c>
      <c r="M57">
        <v>6</v>
      </c>
      <c r="N57">
        <v>6</v>
      </c>
      <c r="O57">
        <v>4265</v>
      </c>
      <c r="P57">
        <v>13</v>
      </c>
      <c r="Q57">
        <v>12</v>
      </c>
      <c r="R57">
        <v>892</v>
      </c>
      <c r="S57">
        <v>67</v>
      </c>
      <c r="T57">
        <v>1080</v>
      </c>
      <c r="U57">
        <v>0.53269299999999997</v>
      </c>
      <c r="V57">
        <v>4.8085999999999997E-2</v>
      </c>
      <c r="W57">
        <v>3.124E-3</v>
      </c>
      <c r="X57">
        <v>9.4439999999999993E-3</v>
      </c>
      <c r="Y57">
        <v>0.59340599999999999</v>
      </c>
      <c r="Z57">
        <v>0</v>
      </c>
      <c r="AA57">
        <v>0</v>
      </c>
      <c r="AB57">
        <v>0</v>
      </c>
      <c r="AC57">
        <v>0</v>
      </c>
    </row>
    <row r="58" spans="1:29" x14ac:dyDescent="0.2">
      <c r="A58" t="s">
        <v>29</v>
      </c>
      <c r="B58" t="s">
        <v>30</v>
      </c>
      <c r="C58">
        <v>6400</v>
      </c>
      <c r="D58">
        <v>2148</v>
      </c>
      <c r="E58">
        <v>33.56</v>
      </c>
      <c r="F58">
        <v>4252</v>
      </c>
      <c r="G58">
        <v>66.44</v>
      </c>
      <c r="H58">
        <v>1616</v>
      </c>
      <c r="I58">
        <v>38.01</v>
      </c>
      <c r="J58" t="s">
        <v>31</v>
      </c>
      <c r="K58">
        <v>600</v>
      </c>
      <c r="L58" t="s">
        <v>32</v>
      </c>
      <c r="M58">
        <v>6</v>
      </c>
      <c r="N58">
        <v>6</v>
      </c>
      <c r="O58">
        <v>4349</v>
      </c>
      <c r="P58">
        <v>97</v>
      </c>
      <c r="Q58">
        <v>12</v>
      </c>
      <c r="R58">
        <v>892</v>
      </c>
      <c r="S58">
        <v>79</v>
      </c>
      <c r="T58">
        <v>1080</v>
      </c>
      <c r="U58">
        <v>0.344393</v>
      </c>
      <c r="V58">
        <v>4.8355000000000002E-2</v>
      </c>
      <c r="W58">
        <v>3.1679999999999998E-3</v>
      </c>
      <c r="X58">
        <v>8.737E-3</v>
      </c>
      <c r="Y58">
        <v>0.40471200000000002</v>
      </c>
      <c r="Z58">
        <v>0</v>
      </c>
      <c r="AA58">
        <v>0</v>
      </c>
      <c r="AB58">
        <v>0</v>
      </c>
      <c r="AC58">
        <v>0</v>
      </c>
    </row>
    <row r="59" spans="1:29" x14ac:dyDescent="0.2">
      <c r="A59" t="s">
        <v>29</v>
      </c>
      <c r="B59" t="s">
        <v>30</v>
      </c>
      <c r="C59">
        <v>6400</v>
      </c>
      <c r="D59">
        <v>2148</v>
      </c>
      <c r="E59">
        <v>33.56</v>
      </c>
      <c r="F59">
        <v>4252</v>
      </c>
      <c r="G59">
        <v>66.44</v>
      </c>
      <c r="H59">
        <v>1616</v>
      </c>
      <c r="I59">
        <v>38.01</v>
      </c>
      <c r="J59" t="s">
        <v>31</v>
      </c>
      <c r="K59">
        <v>600</v>
      </c>
      <c r="L59" t="s">
        <v>32</v>
      </c>
      <c r="M59">
        <v>6</v>
      </c>
      <c r="N59">
        <v>6</v>
      </c>
      <c r="O59">
        <v>4329</v>
      </c>
      <c r="P59">
        <v>77</v>
      </c>
      <c r="Q59">
        <v>12</v>
      </c>
      <c r="R59">
        <v>892</v>
      </c>
      <c r="S59">
        <v>71</v>
      </c>
      <c r="T59">
        <v>1080</v>
      </c>
      <c r="U59">
        <v>0.49538300000000002</v>
      </c>
      <c r="V59">
        <v>4.8129999999999999E-2</v>
      </c>
      <c r="W59">
        <v>3.1619999999999999E-3</v>
      </c>
      <c r="X59">
        <v>1.2404E-2</v>
      </c>
      <c r="Y59">
        <v>0.55913599999999997</v>
      </c>
      <c r="Z59">
        <v>0</v>
      </c>
      <c r="AA59">
        <v>0</v>
      </c>
      <c r="AB59">
        <v>0</v>
      </c>
      <c r="AC59">
        <v>0</v>
      </c>
    </row>
    <row r="60" spans="1:29" x14ac:dyDescent="0.2">
      <c r="A60" t="s">
        <v>29</v>
      </c>
      <c r="B60" t="s">
        <v>30</v>
      </c>
      <c r="C60">
        <v>6400</v>
      </c>
      <c r="D60">
        <v>2148</v>
      </c>
      <c r="E60">
        <v>33.56</v>
      </c>
      <c r="F60">
        <v>4252</v>
      </c>
      <c r="G60">
        <v>66.44</v>
      </c>
      <c r="H60">
        <v>1616</v>
      </c>
      <c r="I60">
        <v>38.01</v>
      </c>
      <c r="J60" t="s">
        <v>31</v>
      </c>
      <c r="K60">
        <v>600</v>
      </c>
      <c r="L60" t="s">
        <v>32</v>
      </c>
      <c r="M60">
        <v>6</v>
      </c>
      <c r="N60">
        <v>6</v>
      </c>
      <c r="O60">
        <v>4308</v>
      </c>
      <c r="P60">
        <v>56</v>
      </c>
      <c r="Q60">
        <v>12</v>
      </c>
      <c r="R60">
        <v>892</v>
      </c>
      <c r="S60">
        <v>68</v>
      </c>
      <c r="T60">
        <v>1080</v>
      </c>
      <c r="U60">
        <v>0.42115000000000002</v>
      </c>
      <c r="V60">
        <v>4.6975000000000003E-2</v>
      </c>
      <c r="W60">
        <v>3.1020000000000002E-3</v>
      </c>
      <c r="X60">
        <v>5.7460000000000002E-3</v>
      </c>
      <c r="Y60">
        <v>0.47704200000000002</v>
      </c>
      <c r="Z60">
        <v>0</v>
      </c>
      <c r="AA60">
        <v>0</v>
      </c>
      <c r="AB60">
        <v>0</v>
      </c>
      <c r="AC60">
        <v>0</v>
      </c>
    </row>
    <row r="61" spans="1:29" x14ac:dyDescent="0.2">
      <c r="A61" t="s">
        <v>29</v>
      </c>
      <c r="B61" t="s">
        <v>30</v>
      </c>
      <c r="C61">
        <v>6400</v>
      </c>
      <c r="D61">
        <v>2148</v>
      </c>
      <c r="E61">
        <v>33.56</v>
      </c>
      <c r="F61">
        <v>4252</v>
      </c>
      <c r="G61">
        <v>66.44</v>
      </c>
      <c r="H61">
        <v>1616</v>
      </c>
      <c r="I61">
        <v>38.01</v>
      </c>
      <c r="J61" t="s">
        <v>31</v>
      </c>
      <c r="K61">
        <v>600</v>
      </c>
      <c r="L61" t="s">
        <v>32</v>
      </c>
      <c r="M61">
        <v>6</v>
      </c>
      <c r="N61">
        <v>6</v>
      </c>
      <c r="O61">
        <v>4295</v>
      </c>
      <c r="P61">
        <v>43</v>
      </c>
      <c r="Q61">
        <v>12</v>
      </c>
      <c r="R61">
        <v>892</v>
      </c>
      <c r="S61">
        <v>75</v>
      </c>
      <c r="T61">
        <v>1080</v>
      </c>
      <c r="U61">
        <v>0.64583599999999997</v>
      </c>
      <c r="V61">
        <v>4.6589999999999999E-2</v>
      </c>
      <c r="W61">
        <v>3.0479999999999999E-3</v>
      </c>
      <c r="X61">
        <v>6.417E-3</v>
      </c>
      <c r="Y61">
        <v>0.70198899999999997</v>
      </c>
      <c r="Z61">
        <v>0</v>
      </c>
      <c r="AA61">
        <v>0</v>
      </c>
      <c r="AB61">
        <v>0</v>
      </c>
      <c r="AC61">
        <v>0</v>
      </c>
    </row>
    <row r="62" spans="1:29" x14ac:dyDescent="0.2">
      <c r="A62" t="s">
        <v>29</v>
      </c>
      <c r="B62" t="s">
        <v>30</v>
      </c>
      <c r="C62">
        <v>6400</v>
      </c>
      <c r="D62">
        <v>2148</v>
      </c>
      <c r="E62">
        <v>33.56</v>
      </c>
      <c r="F62">
        <v>4252</v>
      </c>
      <c r="G62">
        <v>66.44</v>
      </c>
      <c r="H62">
        <v>1616</v>
      </c>
      <c r="I62">
        <v>38.01</v>
      </c>
      <c r="J62" t="s">
        <v>31</v>
      </c>
      <c r="K62">
        <v>600</v>
      </c>
      <c r="L62" t="s">
        <v>32</v>
      </c>
      <c r="M62">
        <v>6</v>
      </c>
      <c r="N62">
        <v>6</v>
      </c>
      <c r="O62">
        <v>4264</v>
      </c>
      <c r="P62">
        <v>12</v>
      </c>
      <c r="Q62">
        <v>12</v>
      </c>
      <c r="R62">
        <v>892</v>
      </c>
      <c r="S62">
        <v>69</v>
      </c>
      <c r="T62">
        <v>1080</v>
      </c>
      <c r="U62">
        <v>0.76221000000000005</v>
      </c>
      <c r="V62">
        <v>4.7035E-2</v>
      </c>
      <c r="W62">
        <v>3.1689999999999999E-3</v>
      </c>
      <c r="X62">
        <v>5.6559999999999996E-3</v>
      </c>
      <c r="Y62">
        <v>0.81814799999999999</v>
      </c>
      <c r="Z62">
        <v>0</v>
      </c>
      <c r="AA62">
        <v>0</v>
      </c>
      <c r="AB62">
        <v>0</v>
      </c>
      <c r="AC62">
        <v>0</v>
      </c>
    </row>
    <row r="63" spans="1:29" x14ac:dyDescent="0.2">
      <c r="A63" t="s">
        <v>29</v>
      </c>
      <c r="B63" t="s">
        <v>30</v>
      </c>
      <c r="C63">
        <v>6400</v>
      </c>
      <c r="D63">
        <v>2148</v>
      </c>
      <c r="E63">
        <v>33.56</v>
      </c>
      <c r="F63">
        <v>4252</v>
      </c>
      <c r="G63">
        <v>66.44</v>
      </c>
      <c r="H63">
        <v>1616</v>
      </c>
      <c r="I63">
        <v>38.01</v>
      </c>
      <c r="J63" t="s">
        <v>31</v>
      </c>
      <c r="K63">
        <v>600</v>
      </c>
      <c r="L63" t="s">
        <v>32</v>
      </c>
      <c r="M63">
        <v>6</v>
      </c>
      <c r="N63">
        <v>6</v>
      </c>
      <c r="O63">
        <v>4322</v>
      </c>
      <c r="P63">
        <v>70</v>
      </c>
      <c r="Q63">
        <v>12</v>
      </c>
      <c r="R63">
        <v>892</v>
      </c>
      <c r="S63">
        <v>75</v>
      </c>
      <c r="T63">
        <v>1080</v>
      </c>
      <c r="U63">
        <v>0.45188699999999998</v>
      </c>
      <c r="V63">
        <v>4.7974000000000003E-2</v>
      </c>
      <c r="W63">
        <v>3.0660000000000001E-3</v>
      </c>
      <c r="X63">
        <v>1.0586999999999999E-2</v>
      </c>
      <c r="Y63">
        <v>0.51356900000000005</v>
      </c>
      <c r="Z63">
        <v>0</v>
      </c>
      <c r="AA63">
        <v>0</v>
      </c>
      <c r="AB63">
        <v>0</v>
      </c>
      <c r="AC63">
        <v>0</v>
      </c>
    </row>
    <row r="64" spans="1:29" x14ac:dyDescent="0.2">
      <c r="A64" t="s">
        <v>29</v>
      </c>
      <c r="B64" t="s">
        <v>30</v>
      </c>
      <c r="C64">
        <v>6400</v>
      </c>
      <c r="D64">
        <v>2148</v>
      </c>
      <c r="E64">
        <v>33.56</v>
      </c>
      <c r="F64">
        <v>4252</v>
      </c>
      <c r="G64">
        <v>66.44</v>
      </c>
      <c r="H64">
        <v>1616</v>
      </c>
      <c r="I64">
        <v>38.01</v>
      </c>
      <c r="J64" t="s">
        <v>31</v>
      </c>
      <c r="K64">
        <v>600</v>
      </c>
      <c r="L64" t="s">
        <v>32</v>
      </c>
      <c r="M64">
        <v>6</v>
      </c>
      <c r="N64">
        <v>6</v>
      </c>
      <c r="O64">
        <v>4314</v>
      </c>
      <c r="P64">
        <v>62</v>
      </c>
      <c r="Q64">
        <v>12</v>
      </c>
      <c r="R64">
        <v>892</v>
      </c>
      <c r="S64">
        <v>68</v>
      </c>
      <c r="T64">
        <v>1080</v>
      </c>
      <c r="U64">
        <v>0.58003800000000005</v>
      </c>
      <c r="V64">
        <v>4.6850000000000003E-2</v>
      </c>
      <c r="W64">
        <v>3.0249999999999999E-3</v>
      </c>
      <c r="X64">
        <v>4.7270000000000003E-3</v>
      </c>
      <c r="Y64">
        <v>0.63470400000000005</v>
      </c>
      <c r="Z64">
        <v>0</v>
      </c>
      <c r="AA64">
        <v>0</v>
      </c>
      <c r="AB64">
        <v>0</v>
      </c>
      <c r="AC64">
        <v>0</v>
      </c>
    </row>
    <row r="65" spans="1:29" x14ac:dyDescent="0.2">
      <c r="A65" t="s">
        <v>29</v>
      </c>
      <c r="B65" t="s">
        <v>30</v>
      </c>
      <c r="C65">
        <v>6400</v>
      </c>
      <c r="D65">
        <v>2148</v>
      </c>
      <c r="E65">
        <v>33.56</v>
      </c>
      <c r="F65">
        <v>4252</v>
      </c>
      <c r="G65">
        <v>66.44</v>
      </c>
      <c r="H65">
        <v>1616</v>
      </c>
      <c r="I65">
        <v>38.01</v>
      </c>
      <c r="J65" t="s">
        <v>31</v>
      </c>
      <c r="K65">
        <v>600</v>
      </c>
      <c r="L65" t="s">
        <v>32</v>
      </c>
      <c r="M65">
        <v>6</v>
      </c>
      <c r="N65">
        <v>6</v>
      </c>
      <c r="O65">
        <v>4300</v>
      </c>
      <c r="P65">
        <v>48</v>
      </c>
      <c r="Q65">
        <v>12</v>
      </c>
      <c r="R65">
        <v>892</v>
      </c>
      <c r="S65">
        <v>78</v>
      </c>
      <c r="T65">
        <v>1080</v>
      </c>
      <c r="U65">
        <v>0.42908600000000002</v>
      </c>
      <c r="V65">
        <v>4.7357000000000003E-2</v>
      </c>
      <c r="W65">
        <v>3.1029999999999999E-3</v>
      </c>
      <c r="X65">
        <v>7.3049999999999999E-3</v>
      </c>
      <c r="Y65">
        <v>0.48690299999999997</v>
      </c>
      <c r="Z65">
        <v>0</v>
      </c>
      <c r="AA65">
        <v>0</v>
      </c>
      <c r="AB65">
        <v>0</v>
      </c>
      <c r="AC65">
        <v>0</v>
      </c>
    </row>
    <row r="66" spans="1:29" x14ac:dyDescent="0.2">
      <c r="A66" t="s">
        <v>29</v>
      </c>
      <c r="B66" t="s">
        <v>30</v>
      </c>
      <c r="C66">
        <v>6400</v>
      </c>
      <c r="D66">
        <v>2148</v>
      </c>
      <c r="E66">
        <v>33.56</v>
      </c>
      <c r="F66">
        <v>4252</v>
      </c>
      <c r="G66">
        <v>66.44</v>
      </c>
      <c r="H66">
        <v>1616</v>
      </c>
      <c r="I66">
        <v>38.01</v>
      </c>
      <c r="J66" t="s">
        <v>31</v>
      </c>
      <c r="K66">
        <v>600</v>
      </c>
      <c r="L66" t="s">
        <v>32</v>
      </c>
      <c r="M66">
        <v>6</v>
      </c>
      <c r="N66">
        <v>6</v>
      </c>
      <c r="O66">
        <v>4308</v>
      </c>
      <c r="P66">
        <v>56</v>
      </c>
      <c r="Q66">
        <v>12</v>
      </c>
      <c r="R66">
        <v>892</v>
      </c>
      <c r="S66">
        <v>68</v>
      </c>
      <c r="T66">
        <v>1080</v>
      </c>
      <c r="U66">
        <v>0.38299299999999997</v>
      </c>
      <c r="V66">
        <v>4.8661999999999997E-2</v>
      </c>
      <c r="W66">
        <v>3.1129999999999999E-3</v>
      </c>
      <c r="X66">
        <v>4.3540000000000002E-3</v>
      </c>
      <c r="Y66">
        <v>0.43917400000000001</v>
      </c>
      <c r="Z66">
        <v>0</v>
      </c>
      <c r="AA66">
        <v>0</v>
      </c>
      <c r="AB66">
        <v>0</v>
      </c>
      <c r="AC66">
        <v>0</v>
      </c>
    </row>
    <row r="67" spans="1:29" x14ac:dyDescent="0.2">
      <c r="A67" t="s">
        <v>29</v>
      </c>
      <c r="B67" t="s">
        <v>30</v>
      </c>
      <c r="C67">
        <v>6400</v>
      </c>
      <c r="D67">
        <v>2148</v>
      </c>
      <c r="E67">
        <v>33.56</v>
      </c>
      <c r="F67">
        <v>4252</v>
      </c>
      <c r="G67">
        <v>66.44</v>
      </c>
      <c r="H67">
        <v>1616</v>
      </c>
      <c r="I67">
        <v>38.01</v>
      </c>
      <c r="J67" t="s">
        <v>31</v>
      </c>
      <c r="K67">
        <v>600</v>
      </c>
      <c r="L67" t="s">
        <v>32</v>
      </c>
      <c r="M67">
        <v>6</v>
      </c>
      <c r="N67">
        <v>6</v>
      </c>
      <c r="O67">
        <v>4333</v>
      </c>
      <c r="P67">
        <v>81</v>
      </c>
      <c r="Q67">
        <v>12</v>
      </c>
      <c r="R67">
        <v>892</v>
      </c>
      <c r="S67">
        <v>64</v>
      </c>
      <c r="T67">
        <v>1080</v>
      </c>
      <c r="U67">
        <v>0.45347900000000002</v>
      </c>
      <c r="V67">
        <v>4.6718000000000003E-2</v>
      </c>
      <c r="W67">
        <v>3.088E-3</v>
      </c>
      <c r="X67">
        <v>1.1691999999999999E-2</v>
      </c>
      <c r="Y67">
        <v>0.51506099999999999</v>
      </c>
      <c r="Z67">
        <v>0</v>
      </c>
      <c r="AA67">
        <v>0</v>
      </c>
      <c r="AB67">
        <v>0</v>
      </c>
      <c r="AC67">
        <v>0</v>
      </c>
    </row>
    <row r="68" spans="1:29" x14ac:dyDescent="0.2">
      <c r="A68" t="s">
        <v>29</v>
      </c>
      <c r="B68" t="s">
        <v>30</v>
      </c>
      <c r="C68">
        <v>6400</v>
      </c>
      <c r="D68">
        <v>2148</v>
      </c>
      <c r="E68">
        <v>33.56</v>
      </c>
      <c r="F68">
        <v>4252</v>
      </c>
      <c r="G68">
        <v>66.44</v>
      </c>
      <c r="H68">
        <v>1616</v>
      </c>
      <c r="I68">
        <v>38.01</v>
      </c>
      <c r="J68" t="s">
        <v>31</v>
      </c>
      <c r="K68">
        <v>600</v>
      </c>
      <c r="L68" t="s">
        <v>32</v>
      </c>
      <c r="M68">
        <v>6</v>
      </c>
      <c r="N68">
        <v>6</v>
      </c>
      <c r="O68">
        <v>4295</v>
      </c>
      <c r="P68">
        <v>43</v>
      </c>
      <c r="Q68">
        <v>12</v>
      </c>
      <c r="R68">
        <v>892</v>
      </c>
      <c r="S68">
        <v>74</v>
      </c>
      <c r="T68">
        <v>1080</v>
      </c>
      <c r="U68">
        <v>0.50860000000000005</v>
      </c>
      <c r="V68">
        <v>4.6767000000000003E-2</v>
      </c>
      <c r="W68">
        <v>3.1449999999999998E-3</v>
      </c>
      <c r="X68">
        <v>3.6410000000000001E-3</v>
      </c>
      <c r="Y68">
        <v>0.562222</v>
      </c>
      <c r="Z68">
        <v>0</v>
      </c>
      <c r="AA68">
        <v>0</v>
      </c>
      <c r="AB68">
        <v>0</v>
      </c>
      <c r="AC68">
        <v>0</v>
      </c>
    </row>
    <row r="69" spans="1:29" x14ac:dyDescent="0.2">
      <c r="A69" t="s">
        <v>29</v>
      </c>
      <c r="B69" t="s">
        <v>30</v>
      </c>
      <c r="C69">
        <v>6400</v>
      </c>
      <c r="D69">
        <v>2148</v>
      </c>
      <c r="E69">
        <v>33.56</v>
      </c>
      <c r="F69">
        <v>4252</v>
      </c>
      <c r="G69">
        <v>66.44</v>
      </c>
      <c r="H69">
        <v>1616</v>
      </c>
      <c r="I69">
        <v>38.01</v>
      </c>
      <c r="J69" t="s">
        <v>31</v>
      </c>
      <c r="K69">
        <v>600</v>
      </c>
      <c r="L69" t="s">
        <v>32</v>
      </c>
      <c r="M69">
        <v>6</v>
      </c>
      <c r="N69">
        <v>6</v>
      </c>
      <c r="O69">
        <v>4399</v>
      </c>
      <c r="P69">
        <v>147</v>
      </c>
      <c r="Q69">
        <v>12</v>
      </c>
      <c r="R69">
        <v>892</v>
      </c>
      <c r="S69">
        <v>80</v>
      </c>
      <c r="T69">
        <v>1080</v>
      </c>
      <c r="U69">
        <v>0.52815199999999995</v>
      </c>
      <c r="V69">
        <v>4.6890000000000001E-2</v>
      </c>
      <c r="W69">
        <v>3.0609999999999999E-3</v>
      </c>
      <c r="X69">
        <v>1.0017E-2</v>
      </c>
      <c r="Y69">
        <v>0.58818400000000004</v>
      </c>
      <c r="Z69">
        <v>0</v>
      </c>
      <c r="AA69">
        <v>0</v>
      </c>
      <c r="AB69">
        <v>0</v>
      </c>
      <c r="AC69">
        <v>0</v>
      </c>
    </row>
    <row r="70" spans="1:29" x14ac:dyDescent="0.2">
      <c r="A70" t="s">
        <v>29</v>
      </c>
      <c r="B70" t="s">
        <v>30</v>
      </c>
      <c r="C70">
        <v>6400</v>
      </c>
      <c r="D70">
        <v>2148</v>
      </c>
      <c r="E70">
        <v>33.56</v>
      </c>
      <c r="F70">
        <v>4252</v>
      </c>
      <c r="G70">
        <v>66.44</v>
      </c>
      <c r="H70">
        <v>1616</v>
      </c>
      <c r="I70">
        <v>38.01</v>
      </c>
      <c r="J70" t="s">
        <v>31</v>
      </c>
      <c r="K70">
        <v>600</v>
      </c>
      <c r="L70" t="s">
        <v>32</v>
      </c>
      <c r="M70">
        <v>6</v>
      </c>
      <c r="N70">
        <v>6</v>
      </c>
      <c r="O70">
        <v>4328</v>
      </c>
      <c r="P70">
        <v>76</v>
      </c>
      <c r="Q70">
        <v>12</v>
      </c>
      <c r="R70">
        <v>892</v>
      </c>
      <c r="S70">
        <v>75</v>
      </c>
      <c r="T70">
        <v>1080</v>
      </c>
      <c r="U70">
        <v>0.61905500000000002</v>
      </c>
      <c r="V70">
        <v>4.7099000000000002E-2</v>
      </c>
      <c r="W70">
        <v>3.186E-3</v>
      </c>
      <c r="X70">
        <v>5.6319999999999999E-3</v>
      </c>
      <c r="Y70">
        <v>0.67502600000000001</v>
      </c>
      <c r="Z70">
        <v>0</v>
      </c>
      <c r="AA70">
        <v>0</v>
      </c>
      <c r="AB70">
        <v>0</v>
      </c>
      <c r="AC70">
        <v>0</v>
      </c>
    </row>
    <row r="71" spans="1:29" x14ac:dyDescent="0.2">
      <c r="A71" t="s">
        <v>29</v>
      </c>
      <c r="B71" t="s">
        <v>30</v>
      </c>
      <c r="C71">
        <v>6400</v>
      </c>
      <c r="D71">
        <v>2148</v>
      </c>
      <c r="E71">
        <v>33.56</v>
      </c>
      <c r="F71">
        <v>4252</v>
      </c>
      <c r="G71">
        <v>66.44</v>
      </c>
      <c r="H71">
        <v>1616</v>
      </c>
      <c r="I71">
        <v>38.01</v>
      </c>
      <c r="J71" t="s">
        <v>31</v>
      </c>
      <c r="K71">
        <v>600</v>
      </c>
      <c r="L71" t="s">
        <v>32</v>
      </c>
      <c r="M71">
        <v>6</v>
      </c>
      <c r="N71">
        <v>6</v>
      </c>
      <c r="O71">
        <v>4348</v>
      </c>
      <c r="P71">
        <v>96</v>
      </c>
      <c r="Q71">
        <v>12</v>
      </c>
      <c r="R71">
        <v>892</v>
      </c>
      <c r="S71">
        <v>69</v>
      </c>
      <c r="T71">
        <v>1080</v>
      </c>
      <c r="U71">
        <v>0.39934199999999997</v>
      </c>
      <c r="V71">
        <v>4.8660000000000002E-2</v>
      </c>
      <c r="W71">
        <v>3.107E-3</v>
      </c>
      <c r="X71">
        <v>7.7510000000000001E-3</v>
      </c>
      <c r="Y71">
        <v>0.45891700000000002</v>
      </c>
      <c r="Z71">
        <v>0</v>
      </c>
      <c r="AA71">
        <v>0</v>
      </c>
      <c r="AB71">
        <v>0</v>
      </c>
      <c r="AC71">
        <v>0</v>
      </c>
    </row>
    <row r="72" spans="1:29" x14ac:dyDescent="0.2">
      <c r="A72" t="s">
        <v>29</v>
      </c>
      <c r="B72" t="s">
        <v>30</v>
      </c>
      <c r="C72">
        <v>6400</v>
      </c>
      <c r="D72">
        <v>2148</v>
      </c>
      <c r="E72">
        <v>33.56</v>
      </c>
      <c r="F72">
        <v>4252</v>
      </c>
      <c r="G72">
        <v>66.44</v>
      </c>
      <c r="H72">
        <v>1616</v>
      </c>
      <c r="I72">
        <v>38.01</v>
      </c>
      <c r="J72" t="s">
        <v>31</v>
      </c>
      <c r="K72">
        <v>600</v>
      </c>
      <c r="L72" t="s">
        <v>32</v>
      </c>
      <c r="M72">
        <v>6</v>
      </c>
      <c r="N72">
        <v>6</v>
      </c>
      <c r="O72">
        <v>4347</v>
      </c>
      <c r="P72">
        <v>95</v>
      </c>
      <c r="Q72">
        <v>12</v>
      </c>
      <c r="R72">
        <v>892</v>
      </c>
      <c r="S72">
        <v>69</v>
      </c>
      <c r="T72">
        <v>1080</v>
      </c>
      <c r="U72">
        <v>0.42607299999999998</v>
      </c>
      <c r="V72">
        <v>4.6951E-2</v>
      </c>
      <c r="W72">
        <v>3.1319999999999998E-3</v>
      </c>
      <c r="X72">
        <v>8.8679999999999991E-3</v>
      </c>
      <c r="Y72">
        <v>0.48507899999999998</v>
      </c>
      <c r="Z72">
        <v>0</v>
      </c>
      <c r="AA72">
        <v>0</v>
      </c>
      <c r="AB72">
        <v>0</v>
      </c>
      <c r="AC72">
        <v>0</v>
      </c>
    </row>
    <row r="73" spans="1:29" x14ac:dyDescent="0.2">
      <c r="A73" t="s">
        <v>29</v>
      </c>
      <c r="B73" t="s">
        <v>30</v>
      </c>
      <c r="C73">
        <v>6400</v>
      </c>
      <c r="D73">
        <v>2148</v>
      </c>
      <c r="E73">
        <v>33.56</v>
      </c>
      <c r="F73">
        <v>4252</v>
      </c>
      <c r="G73">
        <v>66.44</v>
      </c>
      <c r="H73">
        <v>1616</v>
      </c>
      <c r="I73">
        <v>38.01</v>
      </c>
      <c r="J73" t="s">
        <v>31</v>
      </c>
      <c r="K73">
        <v>600</v>
      </c>
      <c r="L73" t="s">
        <v>32</v>
      </c>
      <c r="M73">
        <v>6</v>
      </c>
      <c r="N73">
        <v>6</v>
      </c>
      <c r="O73">
        <v>4284</v>
      </c>
      <c r="P73">
        <v>32</v>
      </c>
      <c r="Q73">
        <v>12</v>
      </c>
      <c r="R73">
        <v>892</v>
      </c>
      <c r="S73">
        <v>67</v>
      </c>
      <c r="T73">
        <v>1080</v>
      </c>
      <c r="U73">
        <v>0.54233299999999995</v>
      </c>
      <c r="V73">
        <v>4.7494000000000001E-2</v>
      </c>
      <c r="W73">
        <v>3.14E-3</v>
      </c>
      <c r="X73">
        <v>3.8670000000000002E-3</v>
      </c>
      <c r="Y73">
        <v>0.59688799999999997</v>
      </c>
      <c r="Z73">
        <v>0</v>
      </c>
      <c r="AA73">
        <v>0</v>
      </c>
      <c r="AB73">
        <v>0</v>
      </c>
      <c r="AC73">
        <v>0</v>
      </c>
    </row>
    <row r="74" spans="1:29" x14ac:dyDescent="0.2">
      <c r="A74" t="s">
        <v>29</v>
      </c>
      <c r="B74" t="s">
        <v>30</v>
      </c>
      <c r="C74">
        <v>6400</v>
      </c>
      <c r="D74">
        <v>2148</v>
      </c>
      <c r="E74">
        <v>33.56</v>
      </c>
      <c r="F74">
        <v>4252</v>
      </c>
      <c r="G74">
        <v>66.44</v>
      </c>
      <c r="H74">
        <v>1616</v>
      </c>
      <c r="I74">
        <v>38.01</v>
      </c>
      <c r="J74" t="s">
        <v>31</v>
      </c>
      <c r="K74">
        <v>600</v>
      </c>
      <c r="L74" t="s">
        <v>32</v>
      </c>
      <c r="M74">
        <v>6</v>
      </c>
      <c r="N74">
        <v>6</v>
      </c>
      <c r="O74">
        <v>4382</v>
      </c>
      <c r="P74">
        <v>130</v>
      </c>
      <c r="Q74">
        <v>12</v>
      </c>
      <c r="R74">
        <v>892</v>
      </c>
      <c r="S74">
        <v>80</v>
      </c>
      <c r="T74">
        <v>1080</v>
      </c>
      <c r="U74">
        <v>0.49987599999999999</v>
      </c>
      <c r="V74">
        <v>4.8866E-2</v>
      </c>
      <c r="W74">
        <v>3.261E-3</v>
      </c>
      <c r="X74">
        <v>8.3920000000000002E-3</v>
      </c>
      <c r="Y74">
        <v>0.56044400000000005</v>
      </c>
      <c r="Z74">
        <v>0</v>
      </c>
      <c r="AA74">
        <v>0</v>
      </c>
      <c r="AB74">
        <v>0</v>
      </c>
      <c r="AC74">
        <v>0</v>
      </c>
    </row>
    <row r="75" spans="1:29" x14ac:dyDescent="0.2">
      <c r="A75" t="s">
        <v>29</v>
      </c>
      <c r="B75" t="s">
        <v>30</v>
      </c>
      <c r="C75">
        <v>6400</v>
      </c>
      <c r="D75">
        <v>2148</v>
      </c>
      <c r="E75">
        <v>33.56</v>
      </c>
      <c r="F75">
        <v>4252</v>
      </c>
      <c r="G75">
        <v>66.44</v>
      </c>
      <c r="H75">
        <v>1616</v>
      </c>
      <c r="I75">
        <v>38.01</v>
      </c>
      <c r="J75" t="s">
        <v>31</v>
      </c>
      <c r="K75">
        <v>600</v>
      </c>
      <c r="L75" t="s">
        <v>32</v>
      </c>
      <c r="M75">
        <v>6</v>
      </c>
      <c r="N75">
        <v>6</v>
      </c>
      <c r="O75">
        <v>4346</v>
      </c>
      <c r="P75">
        <v>94</v>
      </c>
      <c r="Q75">
        <v>12</v>
      </c>
      <c r="R75">
        <v>892</v>
      </c>
      <c r="S75">
        <v>79</v>
      </c>
      <c r="T75">
        <v>1080</v>
      </c>
      <c r="U75">
        <v>0.33241500000000002</v>
      </c>
      <c r="V75">
        <v>4.8103E-2</v>
      </c>
      <c r="W75">
        <v>3.045E-3</v>
      </c>
      <c r="X75">
        <v>8.2179999999999996E-3</v>
      </c>
      <c r="Y75">
        <v>0.39183699999999999</v>
      </c>
      <c r="Z75">
        <v>0</v>
      </c>
      <c r="AA75">
        <v>0</v>
      </c>
      <c r="AB75">
        <v>0</v>
      </c>
      <c r="AC75">
        <v>0</v>
      </c>
    </row>
    <row r="76" spans="1:29" x14ac:dyDescent="0.2">
      <c r="A76" t="s">
        <v>29</v>
      </c>
      <c r="B76" t="s">
        <v>30</v>
      </c>
      <c r="C76">
        <v>6400</v>
      </c>
      <c r="D76">
        <v>2148</v>
      </c>
      <c r="E76">
        <v>33.56</v>
      </c>
      <c r="F76">
        <v>4252</v>
      </c>
      <c r="G76">
        <v>66.44</v>
      </c>
      <c r="H76">
        <v>1616</v>
      </c>
      <c r="I76">
        <v>38.01</v>
      </c>
      <c r="J76" t="s">
        <v>31</v>
      </c>
      <c r="K76">
        <v>600</v>
      </c>
      <c r="L76" t="s">
        <v>32</v>
      </c>
      <c r="M76">
        <v>6</v>
      </c>
      <c r="N76">
        <v>6</v>
      </c>
      <c r="O76">
        <v>4264</v>
      </c>
      <c r="P76">
        <v>12</v>
      </c>
      <c r="Q76">
        <v>12</v>
      </c>
      <c r="R76">
        <v>892</v>
      </c>
      <c r="S76">
        <v>75</v>
      </c>
      <c r="T76">
        <v>1080</v>
      </c>
      <c r="U76">
        <v>0.407522</v>
      </c>
      <c r="V76">
        <v>4.7024999999999997E-2</v>
      </c>
      <c r="W76">
        <v>3.248E-3</v>
      </c>
      <c r="X76">
        <v>1.1174999999999999E-2</v>
      </c>
      <c r="Y76">
        <v>0.46901999999999999</v>
      </c>
      <c r="Z76">
        <v>0</v>
      </c>
      <c r="AA76">
        <v>0</v>
      </c>
      <c r="AB76">
        <v>0</v>
      </c>
      <c r="AC76">
        <v>0</v>
      </c>
    </row>
    <row r="77" spans="1:29" x14ac:dyDescent="0.2">
      <c r="A77" t="s">
        <v>29</v>
      </c>
      <c r="B77" t="s">
        <v>30</v>
      </c>
      <c r="C77">
        <v>6400</v>
      </c>
      <c r="D77">
        <v>2148</v>
      </c>
      <c r="E77">
        <v>33.56</v>
      </c>
      <c r="F77">
        <v>4252</v>
      </c>
      <c r="G77">
        <v>66.44</v>
      </c>
      <c r="H77">
        <v>1616</v>
      </c>
      <c r="I77">
        <v>38.01</v>
      </c>
      <c r="J77" t="s">
        <v>31</v>
      </c>
      <c r="K77">
        <v>600</v>
      </c>
      <c r="L77" t="s">
        <v>32</v>
      </c>
      <c r="M77">
        <v>6</v>
      </c>
      <c r="N77">
        <v>6</v>
      </c>
      <c r="O77">
        <v>4260</v>
      </c>
      <c r="P77">
        <v>8</v>
      </c>
      <c r="Q77">
        <v>12</v>
      </c>
      <c r="R77">
        <v>892</v>
      </c>
      <c r="S77">
        <v>69</v>
      </c>
      <c r="T77">
        <v>1080</v>
      </c>
      <c r="U77">
        <v>0.27361799999999997</v>
      </c>
      <c r="V77">
        <v>4.8211999999999998E-2</v>
      </c>
      <c r="W77">
        <v>3.088E-3</v>
      </c>
      <c r="X77">
        <v>1.1379E-2</v>
      </c>
      <c r="Y77">
        <v>0.33635399999999999</v>
      </c>
      <c r="Z77">
        <v>0</v>
      </c>
      <c r="AA77">
        <v>0</v>
      </c>
      <c r="AB77">
        <v>0</v>
      </c>
      <c r="AC77">
        <v>0</v>
      </c>
    </row>
    <row r="78" spans="1:29" x14ac:dyDescent="0.2">
      <c r="A78" t="s">
        <v>29</v>
      </c>
      <c r="B78" t="s">
        <v>30</v>
      </c>
      <c r="C78">
        <v>6400</v>
      </c>
      <c r="D78">
        <v>2148</v>
      </c>
      <c r="E78">
        <v>33.56</v>
      </c>
      <c r="F78">
        <v>4252</v>
      </c>
      <c r="G78">
        <v>66.44</v>
      </c>
      <c r="H78">
        <v>1616</v>
      </c>
      <c r="I78">
        <v>38.01</v>
      </c>
      <c r="J78" t="s">
        <v>31</v>
      </c>
      <c r="K78">
        <v>600</v>
      </c>
      <c r="L78" t="s">
        <v>32</v>
      </c>
      <c r="M78">
        <v>6</v>
      </c>
      <c r="N78">
        <v>6</v>
      </c>
      <c r="O78">
        <v>4336</v>
      </c>
      <c r="P78">
        <v>84</v>
      </c>
      <c r="Q78">
        <v>12</v>
      </c>
      <c r="R78">
        <v>892</v>
      </c>
      <c r="S78">
        <v>67</v>
      </c>
      <c r="T78">
        <v>1080</v>
      </c>
      <c r="U78">
        <v>0.37078100000000003</v>
      </c>
      <c r="V78">
        <v>4.6907999999999998E-2</v>
      </c>
      <c r="W78">
        <v>3.202E-3</v>
      </c>
      <c r="X78">
        <v>9.0360000000000006E-3</v>
      </c>
      <c r="Y78">
        <v>0.429981</v>
      </c>
      <c r="Z78">
        <v>0</v>
      </c>
      <c r="AA78">
        <v>0</v>
      </c>
      <c r="AB78">
        <v>0</v>
      </c>
      <c r="AC78">
        <v>0</v>
      </c>
    </row>
    <row r="79" spans="1:29" x14ac:dyDescent="0.2">
      <c r="A79" t="s">
        <v>29</v>
      </c>
      <c r="B79" t="s">
        <v>30</v>
      </c>
      <c r="C79">
        <v>6400</v>
      </c>
      <c r="D79">
        <v>2148</v>
      </c>
      <c r="E79">
        <v>33.56</v>
      </c>
      <c r="F79">
        <v>4252</v>
      </c>
      <c r="G79">
        <v>66.44</v>
      </c>
      <c r="H79">
        <v>1616</v>
      </c>
      <c r="I79">
        <v>38.01</v>
      </c>
      <c r="J79" t="s">
        <v>31</v>
      </c>
      <c r="K79">
        <v>600</v>
      </c>
      <c r="L79" t="s">
        <v>32</v>
      </c>
      <c r="M79">
        <v>6</v>
      </c>
      <c r="N79">
        <v>6</v>
      </c>
      <c r="O79">
        <v>4307</v>
      </c>
      <c r="P79">
        <v>55</v>
      </c>
      <c r="Q79">
        <v>12</v>
      </c>
      <c r="R79">
        <v>892</v>
      </c>
      <c r="S79">
        <v>68</v>
      </c>
      <c r="T79">
        <v>1080</v>
      </c>
      <c r="U79">
        <v>0.61507100000000003</v>
      </c>
      <c r="V79">
        <v>4.7144999999999999E-2</v>
      </c>
      <c r="W79">
        <v>3.173E-3</v>
      </c>
      <c r="X79">
        <v>5.2589999999999998E-3</v>
      </c>
      <c r="Y79">
        <v>0.67070300000000005</v>
      </c>
      <c r="Z79">
        <v>0</v>
      </c>
      <c r="AA79">
        <v>0</v>
      </c>
      <c r="AB79">
        <v>0</v>
      </c>
      <c r="AC79">
        <v>0</v>
      </c>
    </row>
    <row r="80" spans="1:29" x14ac:dyDescent="0.2">
      <c r="A80" t="s">
        <v>29</v>
      </c>
      <c r="B80" t="s">
        <v>30</v>
      </c>
      <c r="C80">
        <v>6400</v>
      </c>
      <c r="D80">
        <v>2148</v>
      </c>
      <c r="E80">
        <v>33.56</v>
      </c>
      <c r="F80">
        <v>4252</v>
      </c>
      <c r="G80">
        <v>66.44</v>
      </c>
      <c r="H80">
        <v>1616</v>
      </c>
      <c r="I80">
        <v>38.01</v>
      </c>
      <c r="J80" t="s">
        <v>31</v>
      </c>
      <c r="K80">
        <v>600</v>
      </c>
      <c r="L80" t="s">
        <v>32</v>
      </c>
      <c r="M80">
        <v>6</v>
      </c>
      <c r="N80">
        <v>6</v>
      </c>
      <c r="O80">
        <v>4312</v>
      </c>
      <c r="P80">
        <v>60</v>
      </c>
      <c r="Q80">
        <v>12</v>
      </c>
      <c r="R80">
        <v>892</v>
      </c>
      <c r="S80">
        <v>62</v>
      </c>
      <c r="T80">
        <v>1080</v>
      </c>
      <c r="U80">
        <v>0.61597400000000002</v>
      </c>
      <c r="V80">
        <v>4.7891000000000003E-2</v>
      </c>
      <c r="W80">
        <v>3.0990000000000002E-3</v>
      </c>
      <c r="X80">
        <v>6.2519999999999997E-3</v>
      </c>
      <c r="Y80">
        <v>0.67327300000000001</v>
      </c>
      <c r="Z80">
        <v>0</v>
      </c>
      <c r="AA80">
        <v>0</v>
      </c>
      <c r="AB80">
        <v>0</v>
      </c>
      <c r="AC80">
        <v>0</v>
      </c>
    </row>
    <row r="81" spans="1:29" x14ac:dyDescent="0.2">
      <c r="A81" t="s">
        <v>29</v>
      </c>
      <c r="B81" t="s">
        <v>30</v>
      </c>
      <c r="C81">
        <v>6400</v>
      </c>
      <c r="D81">
        <v>2148</v>
      </c>
      <c r="E81">
        <v>33.56</v>
      </c>
      <c r="F81">
        <v>4252</v>
      </c>
      <c r="G81">
        <v>66.44</v>
      </c>
      <c r="H81">
        <v>1616</v>
      </c>
      <c r="I81">
        <v>38.01</v>
      </c>
      <c r="J81" t="s">
        <v>31</v>
      </c>
      <c r="K81">
        <v>600</v>
      </c>
      <c r="L81" t="s">
        <v>32</v>
      </c>
      <c r="M81">
        <v>6</v>
      </c>
      <c r="N81">
        <v>6</v>
      </c>
      <c r="O81">
        <v>4319</v>
      </c>
      <c r="P81">
        <v>67</v>
      </c>
      <c r="Q81">
        <v>12</v>
      </c>
      <c r="R81">
        <v>892</v>
      </c>
      <c r="S81">
        <v>68</v>
      </c>
      <c r="T81">
        <v>1080</v>
      </c>
      <c r="U81">
        <v>0.60729100000000003</v>
      </c>
      <c r="V81">
        <v>4.7122999999999998E-2</v>
      </c>
      <c r="W81">
        <v>3.15E-3</v>
      </c>
      <c r="X81">
        <v>2.9420000000000002E-3</v>
      </c>
      <c r="Y81">
        <v>0.66056300000000001</v>
      </c>
      <c r="Z81">
        <v>0</v>
      </c>
      <c r="AA81">
        <v>0</v>
      </c>
      <c r="AB81">
        <v>0</v>
      </c>
      <c r="AC81">
        <v>0</v>
      </c>
    </row>
    <row r="82" spans="1:29" x14ac:dyDescent="0.2">
      <c r="A82" t="s">
        <v>29</v>
      </c>
      <c r="B82" t="s">
        <v>30</v>
      </c>
      <c r="C82">
        <v>6400</v>
      </c>
      <c r="D82">
        <v>2148</v>
      </c>
      <c r="E82">
        <v>33.56</v>
      </c>
      <c r="F82">
        <v>4252</v>
      </c>
      <c r="G82">
        <v>66.44</v>
      </c>
      <c r="H82">
        <v>1616</v>
      </c>
      <c r="I82">
        <v>38.01</v>
      </c>
      <c r="J82" t="s">
        <v>31</v>
      </c>
      <c r="K82">
        <v>600</v>
      </c>
      <c r="L82" t="s">
        <v>32</v>
      </c>
      <c r="M82">
        <v>6</v>
      </c>
      <c r="N82">
        <v>6</v>
      </c>
      <c r="O82">
        <v>4322</v>
      </c>
      <c r="P82">
        <v>70</v>
      </c>
      <c r="Q82">
        <v>12</v>
      </c>
      <c r="R82">
        <v>892</v>
      </c>
      <c r="S82">
        <v>74</v>
      </c>
      <c r="T82">
        <v>1080</v>
      </c>
      <c r="U82">
        <v>0.31750699999999998</v>
      </c>
      <c r="V82">
        <v>4.8446999999999997E-2</v>
      </c>
      <c r="W82">
        <v>3.0899999999999999E-3</v>
      </c>
      <c r="X82">
        <v>5.9059999999999998E-3</v>
      </c>
      <c r="Y82">
        <v>0.375002</v>
      </c>
      <c r="Z82">
        <v>0</v>
      </c>
      <c r="AA82">
        <v>0</v>
      </c>
      <c r="AB82">
        <v>0</v>
      </c>
      <c r="AC82">
        <v>0</v>
      </c>
    </row>
    <row r="83" spans="1:29" x14ac:dyDescent="0.2">
      <c r="A83" t="s">
        <v>29</v>
      </c>
      <c r="B83" t="s">
        <v>30</v>
      </c>
      <c r="C83">
        <v>6400</v>
      </c>
      <c r="D83">
        <v>2148</v>
      </c>
      <c r="E83">
        <v>33.56</v>
      </c>
      <c r="F83">
        <v>4252</v>
      </c>
      <c r="G83">
        <v>66.44</v>
      </c>
      <c r="H83">
        <v>1616</v>
      </c>
      <c r="I83">
        <v>38.01</v>
      </c>
      <c r="J83" t="s">
        <v>31</v>
      </c>
      <c r="K83">
        <v>600</v>
      </c>
      <c r="L83" t="s">
        <v>32</v>
      </c>
      <c r="M83">
        <v>6</v>
      </c>
      <c r="N83">
        <v>6</v>
      </c>
      <c r="O83">
        <v>4356</v>
      </c>
      <c r="P83">
        <v>104</v>
      </c>
      <c r="Q83">
        <v>12</v>
      </c>
      <c r="R83">
        <v>892</v>
      </c>
      <c r="S83">
        <v>80</v>
      </c>
      <c r="T83">
        <v>1080</v>
      </c>
      <c r="U83">
        <v>0.45056499999999999</v>
      </c>
      <c r="V83">
        <v>4.8048E-2</v>
      </c>
      <c r="W83">
        <v>3.0720000000000001E-3</v>
      </c>
      <c r="X83">
        <v>1.1509E-2</v>
      </c>
      <c r="Y83">
        <v>0.51324700000000001</v>
      </c>
      <c r="Z83">
        <v>0</v>
      </c>
      <c r="AA83">
        <v>0</v>
      </c>
      <c r="AB83">
        <v>0</v>
      </c>
      <c r="AC83">
        <v>0</v>
      </c>
    </row>
    <row r="84" spans="1:29" x14ac:dyDescent="0.2">
      <c r="A84" t="s">
        <v>29</v>
      </c>
      <c r="B84" t="s">
        <v>30</v>
      </c>
      <c r="C84">
        <v>6400</v>
      </c>
      <c r="D84">
        <v>2148</v>
      </c>
      <c r="E84">
        <v>33.56</v>
      </c>
      <c r="F84">
        <v>4252</v>
      </c>
      <c r="G84">
        <v>66.44</v>
      </c>
      <c r="H84">
        <v>1616</v>
      </c>
      <c r="I84">
        <v>38.01</v>
      </c>
      <c r="J84" t="s">
        <v>31</v>
      </c>
      <c r="K84">
        <v>600</v>
      </c>
      <c r="L84" t="s">
        <v>32</v>
      </c>
      <c r="M84">
        <v>6</v>
      </c>
      <c r="N84">
        <v>6</v>
      </c>
      <c r="O84">
        <v>4272</v>
      </c>
      <c r="P84">
        <v>20</v>
      </c>
      <c r="Q84">
        <v>12</v>
      </c>
      <c r="R84">
        <v>892</v>
      </c>
      <c r="S84">
        <v>73</v>
      </c>
      <c r="T84">
        <v>1080</v>
      </c>
      <c r="U84">
        <v>0.55002700000000004</v>
      </c>
      <c r="V84">
        <v>4.8134999999999997E-2</v>
      </c>
      <c r="W84">
        <v>3.1310000000000001E-3</v>
      </c>
      <c r="X84">
        <v>1.018E-2</v>
      </c>
      <c r="Y84">
        <v>0.61153100000000005</v>
      </c>
      <c r="Z84">
        <v>0</v>
      </c>
      <c r="AA84">
        <v>0</v>
      </c>
      <c r="AB84">
        <v>0</v>
      </c>
      <c r="AC84">
        <v>0</v>
      </c>
    </row>
    <row r="85" spans="1:29" x14ac:dyDescent="0.2">
      <c r="A85" t="s">
        <v>29</v>
      </c>
      <c r="B85" t="s">
        <v>30</v>
      </c>
      <c r="C85">
        <v>6400</v>
      </c>
      <c r="D85">
        <v>2148</v>
      </c>
      <c r="E85">
        <v>33.56</v>
      </c>
      <c r="F85">
        <v>4252</v>
      </c>
      <c r="G85">
        <v>66.44</v>
      </c>
      <c r="H85">
        <v>1616</v>
      </c>
      <c r="I85">
        <v>38.01</v>
      </c>
      <c r="J85" t="s">
        <v>31</v>
      </c>
      <c r="K85">
        <v>600</v>
      </c>
      <c r="L85" t="s">
        <v>32</v>
      </c>
      <c r="M85">
        <v>6</v>
      </c>
      <c r="N85">
        <v>6</v>
      </c>
      <c r="O85">
        <v>4352</v>
      </c>
      <c r="P85">
        <v>100</v>
      </c>
      <c r="Q85">
        <v>12</v>
      </c>
      <c r="R85">
        <v>892</v>
      </c>
      <c r="S85">
        <v>80</v>
      </c>
      <c r="T85">
        <v>1080</v>
      </c>
      <c r="U85">
        <v>0.58063900000000002</v>
      </c>
      <c r="V85">
        <v>4.8146000000000001E-2</v>
      </c>
      <c r="W85">
        <v>3.1280000000000001E-3</v>
      </c>
      <c r="X85">
        <v>1.0283E-2</v>
      </c>
      <c r="Y85">
        <v>0.64224800000000004</v>
      </c>
      <c r="Z85">
        <v>0</v>
      </c>
      <c r="AA85">
        <v>0</v>
      </c>
      <c r="AB85">
        <v>0</v>
      </c>
      <c r="AC85">
        <v>0</v>
      </c>
    </row>
    <row r="86" spans="1:29" x14ac:dyDescent="0.2">
      <c r="A86" t="s">
        <v>29</v>
      </c>
      <c r="B86" t="s">
        <v>30</v>
      </c>
      <c r="C86">
        <v>6400</v>
      </c>
      <c r="D86">
        <v>2148</v>
      </c>
      <c r="E86">
        <v>33.56</v>
      </c>
      <c r="F86">
        <v>4252</v>
      </c>
      <c r="G86">
        <v>66.44</v>
      </c>
      <c r="H86">
        <v>1616</v>
      </c>
      <c r="I86">
        <v>38.01</v>
      </c>
      <c r="J86" t="s">
        <v>31</v>
      </c>
      <c r="K86">
        <v>600</v>
      </c>
      <c r="L86" t="s">
        <v>32</v>
      </c>
      <c r="M86">
        <v>6</v>
      </c>
      <c r="N86">
        <v>6</v>
      </c>
      <c r="O86">
        <v>4269</v>
      </c>
      <c r="P86">
        <v>17</v>
      </c>
      <c r="Q86">
        <v>12</v>
      </c>
      <c r="R86">
        <v>892</v>
      </c>
      <c r="S86">
        <v>66</v>
      </c>
      <c r="T86">
        <v>1080</v>
      </c>
      <c r="U86">
        <v>0.37212099999999998</v>
      </c>
      <c r="V86">
        <v>4.6674E-2</v>
      </c>
      <c r="W86">
        <v>3.153E-3</v>
      </c>
      <c r="X86">
        <v>7.8469999999999998E-3</v>
      </c>
      <c r="Y86">
        <v>0.42984699999999998</v>
      </c>
      <c r="Z86">
        <v>0</v>
      </c>
      <c r="AA86">
        <v>0</v>
      </c>
      <c r="AB86">
        <v>0</v>
      </c>
      <c r="AC86">
        <v>0</v>
      </c>
    </row>
    <row r="87" spans="1:29" x14ac:dyDescent="0.2">
      <c r="A87" t="s">
        <v>29</v>
      </c>
      <c r="B87" t="s">
        <v>30</v>
      </c>
      <c r="C87">
        <v>6400</v>
      </c>
      <c r="D87">
        <v>2148</v>
      </c>
      <c r="E87">
        <v>33.56</v>
      </c>
      <c r="F87">
        <v>4252</v>
      </c>
      <c r="G87">
        <v>66.44</v>
      </c>
      <c r="H87">
        <v>1616</v>
      </c>
      <c r="I87">
        <v>38.01</v>
      </c>
      <c r="J87" t="s">
        <v>31</v>
      </c>
      <c r="K87">
        <v>600</v>
      </c>
      <c r="L87" t="s">
        <v>32</v>
      </c>
      <c r="M87">
        <v>6</v>
      </c>
      <c r="N87">
        <v>6</v>
      </c>
      <c r="O87">
        <v>4268</v>
      </c>
      <c r="P87">
        <v>16</v>
      </c>
      <c r="Q87">
        <v>12</v>
      </c>
      <c r="R87">
        <v>892</v>
      </c>
      <c r="S87">
        <v>74</v>
      </c>
      <c r="T87">
        <v>1080</v>
      </c>
      <c r="U87">
        <v>0.36086600000000002</v>
      </c>
      <c r="V87">
        <v>4.7104E-2</v>
      </c>
      <c r="W87">
        <v>3.156E-3</v>
      </c>
      <c r="X87">
        <v>7.077E-3</v>
      </c>
      <c r="Y87">
        <v>0.41825400000000001</v>
      </c>
      <c r="Z87">
        <v>0</v>
      </c>
      <c r="AA87">
        <v>0</v>
      </c>
      <c r="AB87">
        <v>0</v>
      </c>
      <c r="AC87">
        <v>0</v>
      </c>
    </row>
    <row r="88" spans="1:29" x14ac:dyDescent="0.2">
      <c r="A88" t="s">
        <v>29</v>
      </c>
      <c r="B88" t="s">
        <v>30</v>
      </c>
      <c r="C88">
        <v>6400</v>
      </c>
      <c r="D88">
        <v>2148</v>
      </c>
      <c r="E88">
        <v>33.56</v>
      </c>
      <c r="F88">
        <v>4252</v>
      </c>
      <c r="G88">
        <v>66.44</v>
      </c>
      <c r="H88">
        <v>1616</v>
      </c>
      <c r="I88">
        <v>38.01</v>
      </c>
      <c r="J88" t="s">
        <v>31</v>
      </c>
      <c r="K88">
        <v>600</v>
      </c>
      <c r="L88" t="s">
        <v>32</v>
      </c>
      <c r="M88">
        <v>6</v>
      </c>
      <c r="N88">
        <v>6</v>
      </c>
      <c r="O88">
        <v>4285</v>
      </c>
      <c r="P88">
        <v>33</v>
      </c>
      <c r="Q88">
        <v>12</v>
      </c>
      <c r="R88">
        <v>892</v>
      </c>
      <c r="S88">
        <v>64</v>
      </c>
      <c r="T88">
        <v>1080</v>
      </c>
      <c r="U88">
        <v>0.44311800000000001</v>
      </c>
      <c r="V88">
        <v>4.8134999999999997E-2</v>
      </c>
      <c r="W88">
        <v>3.1619999999999999E-3</v>
      </c>
      <c r="X88">
        <v>1.1351999999999999E-2</v>
      </c>
      <c r="Y88">
        <v>0.50583299999999998</v>
      </c>
      <c r="Z88">
        <v>0</v>
      </c>
      <c r="AA88">
        <v>0</v>
      </c>
      <c r="AB88">
        <v>0</v>
      </c>
      <c r="AC88">
        <v>0</v>
      </c>
    </row>
    <row r="89" spans="1:29" x14ac:dyDescent="0.2">
      <c r="A89" t="s">
        <v>29</v>
      </c>
      <c r="B89" t="s">
        <v>30</v>
      </c>
      <c r="C89">
        <v>6400</v>
      </c>
      <c r="D89">
        <v>2148</v>
      </c>
      <c r="E89">
        <v>33.56</v>
      </c>
      <c r="F89">
        <v>4252</v>
      </c>
      <c r="G89">
        <v>66.44</v>
      </c>
      <c r="H89">
        <v>1616</v>
      </c>
      <c r="I89">
        <v>38.01</v>
      </c>
      <c r="J89" t="s">
        <v>31</v>
      </c>
      <c r="K89">
        <v>600</v>
      </c>
      <c r="L89" t="s">
        <v>32</v>
      </c>
      <c r="M89">
        <v>6</v>
      </c>
      <c r="N89">
        <v>6</v>
      </c>
      <c r="O89">
        <v>4397</v>
      </c>
      <c r="P89">
        <v>145</v>
      </c>
      <c r="Q89">
        <v>12</v>
      </c>
      <c r="R89">
        <v>892</v>
      </c>
      <c r="S89">
        <v>80</v>
      </c>
      <c r="T89">
        <v>1080</v>
      </c>
      <c r="U89">
        <v>0.36977300000000002</v>
      </c>
      <c r="V89">
        <v>4.8394E-2</v>
      </c>
      <c r="W89">
        <v>3.0990000000000002E-3</v>
      </c>
      <c r="X89">
        <v>1.1757E-2</v>
      </c>
      <c r="Y89">
        <v>0.43307600000000002</v>
      </c>
      <c r="Z89">
        <v>0</v>
      </c>
      <c r="AA89">
        <v>0</v>
      </c>
      <c r="AB89">
        <v>0</v>
      </c>
      <c r="AC89">
        <v>0</v>
      </c>
    </row>
    <row r="90" spans="1:29" x14ac:dyDescent="0.2">
      <c r="A90" t="s">
        <v>29</v>
      </c>
      <c r="B90" t="s">
        <v>30</v>
      </c>
      <c r="C90">
        <v>6400</v>
      </c>
      <c r="D90">
        <v>2148</v>
      </c>
      <c r="E90">
        <v>33.56</v>
      </c>
      <c r="F90">
        <v>4252</v>
      </c>
      <c r="G90">
        <v>66.44</v>
      </c>
      <c r="H90">
        <v>1616</v>
      </c>
      <c r="I90">
        <v>38.01</v>
      </c>
      <c r="J90" t="s">
        <v>31</v>
      </c>
      <c r="K90">
        <v>600</v>
      </c>
      <c r="L90" t="s">
        <v>32</v>
      </c>
      <c r="M90">
        <v>6</v>
      </c>
      <c r="N90">
        <v>6</v>
      </c>
      <c r="O90">
        <v>4300</v>
      </c>
      <c r="P90">
        <v>48</v>
      </c>
      <c r="Q90">
        <v>12</v>
      </c>
      <c r="R90">
        <v>892</v>
      </c>
      <c r="S90">
        <v>68</v>
      </c>
      <c r="T90">
        <v>1080</v>
      </c>
      <c r="U90">
        <v>0.39846700000000002</v>
      </c>
      <c r="V90">
        <v>4.7004999999999998E-2</v>
      </c>
      <c r="W90">
        <v>3.1779999999999998E-3</v>
      </c>
      <c r="X90">
        <v>8.1290000000000008E-3</v>
      </c>
      <c r="Y90">
        <v>0.45683200000000002</v>
      </c>
      <c r="Z90">
        <v>0</v>
      </c>
      <c r="AA90">
        <v>0</v>
      </c>
      <c r="AB90">
        <v>0</v>
      </c>
      <c r="AC90">
        <v>0</v>
      </c>
    </row>
    <row r="91" spans="1:29" x14ac:dyDescent="0.2">
      <c r="A91" t="s">
        <v>29</v>
      </c>
      <c r="B91" t="s">
        <v>30</v>
      </c>
      <c r="C91">
        <v>6400</v>
      </c>
      <c r="D91">
        <v>2148</v>
      </c>
      <c r="E91">
        <v>33.56</v>
      </c>
      <c r="F91">
        <v>4252</v>
      </c>
      <c r="G91">
        <v>66.44</v>
      </c>
      <c r="H91">
        <v>1616</v>
      </c>
      <c r="I91">
        <v>38.01</v>
      </c>
      <c r="J91" t="s">
        <v>31</v>
      </c>
      <c r="K91">
        <v>600</v>
      </c>
      <c r="L91" t="s">
        <v>32</v>
      </c>
      <c r="M91">
        <v>6</v>
      </c>
      <c r="N91">
        <v>6</v>
      </c>
      <c r="O91">
        <v>4272</v>
      </c>
      <c r="P91">
        <v>20</v>
      </c>
      <c r="Q91">
        <v>12</v>
      </c>
      <c r="R91">
        <v>892</v>
      </c>
      <c r="S91">
        <v>68</v>
      </c>
      <c r="T91">
        <v>1080</v>
      </c>
      <c r="U91">
        <v>0.34182800000000002</v>
      </c>
      <c r="V91">
        <v>4.6711999999999997E-2</v>
      </c>
      <c r="W91">
        <v>3.0980000000000001E-3</v>
      </c>
      <c r="X91">
        <v>6.3509999999999999E-3</v>
      </c>
      <c r="Y91">
        <v>0.39804200000000001</v>
      </c>
      <c r="Z91">
        <v>0</v>
      </c>
      <c r="AA91">
        <v>0</v>
      </c>
      <c r="AB91">
        <v>0</v>
      </c>
      <c r="AC91">
        <v>0</v>
      </c>
    </row>
    <row r="92" spans="1:29" x14ac:dyDescent="0.2">
      <c r="A92" t="s">
        <v>29</v>
      </c>
      <c r="B92" t="s">
        <v>30</v>
      </c>
      <c r="C92">
        <v>6400</v>
      </c>
      <c r="D92">
        <v>2148</v>
      </c>
      <c r="E92">
        <v>33.56</v>
      </c>
      <c r="F92">
        <v>4252</v>
      </c>
      <c r="G92">
        <v>66.44</v>
      </c>
      <c r="H92">
        <v>1616</v>
      </c>
      <c r="I92">
        <v>38.01</v>
      </c>
      <c r="J92" t="s">
        <v>31</v>
      </c>
      <c r="K92">
        <v>600</v>
      </c>
      <c r="L92" t="s">
        <v>32</v>
      </c>
      <c r="M92">
        <v>6</v>
      </c>
      <c r="N92">
        <v>6</v>
      </c>
      <c r="O92">
        <v>4344</v>
      </c>
      <c r="P92">
        <v>92</v>
      </c>
      <c r="Q92">
        <v>12</v>
      </c>
      <c r="R92">
        <v>892</v>
      </c>
      <c r="S92">
        <v>68</v>
      </c>
      <c r="T92">
        <v>1080</v>
      </c>
      <c r="U92">
        <v>0.38063000000000002</v>
      </c>
      <c r="V92">
        <v>4.6913999999999997E-2</v>
      </c>
      <c r="W92">
        <v>3.101E-3</v>
      </c>
      <c r="X92">
        <v>5.8630000000000002E-3</v>
      </c>
      <c r="Y92">
        <v>0.43655899999999997</v>
      </c>
      <c r="Z92">
        <v>0</v>
      </c>
      <c r="AA92">
        <v>0</v>
      </c>
      <c r="AB92">
        <v>0</v>
      </c>
      <c r="AC92">
        <v>0</v>
      </c>
    </row>
    <row r="93" spans="1:29" x14ac:dyDescent="0.2">
      <c r="A93" t="s">
        <v>29</v>
      </c>
      <c r="B93" t="s">
        <v>30</v>
      </c>
      <c r="C93">
        <v>6400</v>
      </c>
      <c r="D93">
        <v>2148</v>
      </c>
      <c r="E93">
        <v>33.56</v>
      </c>
      <c r="F93">
        <v>4252</v>
      </c>
      <c r="G93">
        <v>66.44</v>
      </c>
      <c r="H93">
        <v>1616</v>
      </c>
      <c r="I93">
        <v>38.01</v>
      </c>
      <c r="J93" t="s">
        <v>31</v>
      </c>
      <c r="K93">
        <v>600</v>
      </c>
      <c r="L93" t="s">
        <v>32</v>
      </c>
      <c r="M93">
        <v>6</v>
      </c>
      <c r="N93">
        <v>6</v>
      </c>
      <c r="O93">
        <v>4497</v>
      </c>
      <c r="P93">
        <v>245</v>
      </c>
      <c r="Q93">
        <v>12</v>
      </c>
      <c r="R93">
        <v>892</v>
      </c>
      <c r="S93">
        <v>70</v>
      </c>
      <c r="T93">
        <v>1080</v>
      </c>
      <c r="U93">
        <v>0.42855100000000002</v>
      </c>
      <c r="V93">
        <v>4.7994000000000002E-2</v>
      </c>
      <c r="W93">
        <v>3.0739999999999999E-3</v>
      </c>
      <c r="X93">
        <v>7.0039999999999998E-3</v>
      </c>
      <c r="Y93">
        <v>0.486678</v>
      </c>
      <c r="Z93">
        <v>0</v>
      </c>
      <c r="AA93">
        <v>0</v>
      </c>
      <c r="AB93">
        <v>0</v>
      </c>
      <c r="AC93">
        <v>0</v>
      </c>
    </row>
    <row r="94" spans="1:29" x14ac:dyDescent="0.2">
      <c r="A94" t="s">
        <v>29</v>
      </c>
      <c r="B94" t="s">
        <v>30</v>
      </c>
      <c r="C94">
        <v>6400</v>
      </c>
      <c r="D94">
        <v>2148</v>
      </c>
      <c r="E94">
        <v>33.56</v>
      </c>
      <c r="F94">
        <v>4252</v>
      </c>
      <c r="G94">
        <v>66.44</v>
      </c>
      <c r="H94">
        <v>1616</v>
      </c>
      <c r="I94">
        <v>38.01</v>
      </c>
      <c r="J94" t="s">
        <v>31</v>
      </c>
      <c r="K94">
        <v>600</v>
      </c>
      <c r="L94" t="s">
        <v>32</v>
      </c>
      <c r="M94">
        <v>6</v>
      </c>
      <c r="N94">
        <v>6</v>
      </c>
      <c r="O94">
        <v>4304</v>
      </c>
      <c r="P94">
        <v>52</v>
      </c>
      <c r="Q94">
        <v>12</v>
      </c>
      <c r="R94">
        <v>892</v>
      </c>
      <c r="S94">
        <v>75</v>
      </c>
      <c r="T94">
        <v>1080</v>
      </c>
      <c r="U94">
        <v>0.472445</v>
      </c>
      <c r="V94">
        <v>4.6836999999999997E-2</v>
      </c>
      <c r="W94">
        <v>3.1779999999999998E-3</v>
      </c>
      <c r="X94">
        <v>7.123E-3</v>
      </c>
      <c r="Y94">
        <v>0.52963800000000005</v>
      </c>
      <c r="Z94">
        <v>0</v>
      </c>
      <c r="AA94">
        <v>0</v>
      </c>
      <c r="AB94">
        <v>0</v>
      </c>
      <c r="AC94">
        <v>0</v>
      </c>
    </row>
    <row r="95" spans="1:29" x14ac:dyDescent="0.2">
      <c r="A95" t="s">
        <v>29</v>
      </c>
      <c r="B95" t="s">
        <v>30</v>
      </c>
      <c r="C95">
        <v>6400</v>
      </c>
      <c r="D95">
        <v>2148</v>
      </c>
      <c r="E95">
        <v>33.56</v>
      </c>
      <c r="F95">
        <v>4252</v>
      </c>
      <c r="G95">
        <v>66.44</v>
      </c>
      <c r="H95">
        <v>1616</v>
      </c>
      <c r="I95">
        <v>38.01</v>
      </c>
      <c r="J95" t="s">
        <v>31</v>
      </c>
      <c r="K95">
        <v>600</v>
      </c>
      <c r="L95" t="s">
        <v>32</v>
      </c>
      <c r="M95">
        <v>6</v>
      </c>
      <c r="N95">
        <v>6</v>
      </c>
      <c r="O95">
        <v>4298</v>
      </c>
      <c r="P95">
        <v>46</v>
      </c>
      <c r="Q95">
        <v>12</v>
      </c>
      <c r="R95">
        <v>892</v>
      </c>
      <c r="S95">
        <v>59</v>
      </c>
      <c r="T95">
        <v>1080</v>
      </c>
      <c r="U95">
        <v>0.89905800000000002</v>
      </c>
      <c r="V95">
        <v>4.7308000000000003E-2</v>
      </c>
      <c r="W95">
        <v>3.192E-3</v>
      </c>
      <c r="X95">
        <v>3.0240000000000002E-3</v>
      </c>
      <c r="Y95">
        <v>0.95264000000000004</v>
      </c>
      <c r="Z95">
        <v>0</v>
      </c>
      <c r="AA95">
        <v>0</v>
      </c>
      <c r="AB95">
        <v>0</v>
      </c>
      <c r="AC95">
        <v>0</v>
      </c>
    </row>
    <row r="96" spans="1:29" x14ac:dyDescent="0.2">
      <c r="A96" t="s">
        <v>29</v>
      </c>
      <c r="B96" t="s">
        <v>30</v>
      </c>
      <c r="C96">
        <v>6400</v>
      </c>
      <c r="D96">
        <v>2148</v>
      </c>
      <c r="E96">
        <v>33.56</v>
      </c>
      <c r="F96">
        <v>4252</v>
      </c>
      <c r="G96">
        <v>66.44</v>
      </c>
      <c r="H96">
        <v>1616</v>
      </c>
      <c r="I96">
        <v>38.01</v>
      </c>
      <c r="J96" t="s">
        <v>31</v>
      </c>
      <c r="K96">
        <v>600</v>
      </c>
      <c r="L96" t="s">
        <v>32</v>
      </c>
      <c r="M96">
        <v>6</v>
      </c>
      <c r="N96">
        <v>6</v>
      </c>
      <c r="O96">
        <v>4276</v>
      </c>
      <c r="P96">
        <v>24</v>
      </c>
      <c r="Q96">
        <v>12</v>
      </c>
      <c r="R96">
        <v>892</v>
      </c>
      <c r="S96">
        <v>71</v>
      </c>
      <c r="T96">
        <v>1080</v>
      </c>
      <c r="U96">
        <v>0.30421900000000002</v>
      </c>
      <c r="V96">
        <v>4.7896000000000001E-2</v>
      </c>
      <c r="W96">
        <v>3.2209999999999999E-3</v>
      </c>
      <c r="X96">
        <v>5.9789999999999999E-3</v>
      </c>
      <c r="Y96">
        <v>0.361369</v>
      </c>
      <c r="Z96">
        <v>0</v>
      </c>
      <c r="AA96">
        <v>0</v>
      </c>
      <c r="AB96">
        <v>0</v>
      </c>
      <c r="AC96">
        <v>0</v>
      </c>
    </row>
    <row r="97" spans="1:29" x14ac:dyDescent="0.2">
      <c r="A97" t="s">
        <v>29</v>
      </c>
      <c r="B97" t="s">
        <v>30</v>
      </c>
      <c r="C97">
        <v>6400</v>
      </c>
      <c r="D97">
        <v>2148</v>
      </c>
      <c r="E97">
        <v>33.56</v>
      </c>
      <c r="F97">
        <v>4252</v>
      </c>
      <c r="G97">
        <v>66.44</v>
      </c>
      <c r="H97">
        <v>1616</v>
      </c>
      <c r="I97">
        <v>38.01</v>
      </c>
      <c r="J97" t="s">
        <v>31</v>
      </c>
      <c r="K97">
        <v>600</v>
      </c>
      <c r="L97" t="s">
        <v>32</v>
      </c>
      <c r="M97">
        <v>6</v>
      </c>
      <c r="N97">
        <v>6</v>
      </c>
      <c r="O97">
        <v>4280</v>
      </c>
      <c r="P97">
        <v>28</v>
      </c>
      <c r="Q97">
        <v>12</v>
      </c>
      <c r="R97">
        <v>892</v>
      </c>
      <c r="S97">
        <v>76</v>
      </c>
      <c r="T97">
        <v>1080</v>
      </c>
      <c r="U97">
        <v>0.45913599999999999</v>
      </c>
      <c r="V97">
        <v>4.6795000000000003E-2</v>
      </c>
      <c r="W97">
        <v>3.0590000000000001E-3</v>
      </c>
      <c r="X97">
        <v>7.8960000000000002E-3</v>
      </c>
      <c r="Y97">
        <v>0.51693599999999995</v>
      </c>
      <c r="Z97">
        <v>0</v>
      </c>
      <c r="AA97">
        <v>0</v>
      </c>
      <c r="AB97">
        <v>0</v>
      </c>
      <c r="AC97">
        <v>0</v>
      </c>
    </row>
    <row r="98" spans="1:29" x14ac:dyDescent="0.2">
      <c r="A98" t="s">
        <v>29</v>
      </c>
      <c r="B98" t="s">
        <v>30</v>
      </c>
      <c r="C98">
        <v>6400</v>
      </c>
      <c r="D98">
        <v>2148</v>
      </c>
      <c r="E98">
        <v>33.56</v>
      </c>
      <c r="F98">
        <v>4252</v>
      </c>
      <c r="G98">
        <v>66.44</v>
      </c>
      <c r="H98">
        <v>1616</v>
      </c>
      <c r="I98">
        <v>38.01</v>
      </c>
      <c r="J98" t="s">
        <v>31</v>
      </c>
      <c r="K98">
        <v>600</v>
      </c>
      <c r="L98" t="s">
        <v>32</v>
      </c>
      <c r="M98">
        <v>6</v>
      </c>
      <c r="N98">
        <v>6</v>
      </c>
      <c r="O98">
        <v>4307</v>
      </c>
      <c r="P98">
        <v>55</v>
      </c>
      <c r="Q98">
        <v>12</v>
      </c>
      <c r="R98">
        <v>892</v>
      </c>
      <c r="S98">
        <v>69</v>
      </c>
      <c r="T98">
        <v>1080</v>
      </c>
      <c r="U98">
        <v>0.55697600000000003</v>
      </c>
      <c r="V98">
        <v>4.8009999999999997E-2</v>
      </c>
      <c r="W98">
        <v>3.0860000000000002E-3</v>
      </c>
      <c r="X98">
        <v>7.6350000000000003E-3</v>
      </c>
      <c r="Y98">
        <v>0.615757</v>
      </c>
      <c r="Z98">
        <v>0</v>
      </c>
      <c r="AA98">
        <v>0</v>
      </c>
      <c r="AB98">
        <v>0</v>
      </c>
      <c r="AC98">
        <v>0</v>
      </c>
    </row>
    <row r="99" spans="1:29" x14ac:dyDescent="0.2">
      <c r="A99" t="s">
        <v>29</v>
      </c>
      <c r="B99" t="s">
        <v>30</v>
      </c>
      <c r="C99">
        <v>6400</v>
      </c>
      <c r="D99">
        <v>2148</v>
      </c>
      <c r="E99">
        <v>33.56</v>
      </c>
      <c r="F99">
        <v>4252</v>
      </c>
      <c r="G99">
        <v>66.44</v>
      </c>
      <c r="H99">
        <v>1616</v>
      </c>
      <c r="I99">
        <v>38.01</v>
      </c>
      <c r="J99" t="s">
        <v>31</v>
      </c>
      <c r="K99">
        <v>600</v>
      </c>
      <c r="L99" t="s">
        <v>32</v>
      </c>
      <c r="M99">
        <v>6</v>
      </c>
      <c r="N99">
        <v>6</v>
      </c>
      <c r="O99">
        <v>4291</v>
      </c>
      <c r="P99">
        <v>39</v>
      </c>
      <c r="Q99">
        <v>12</v>
      </c>
      <c r="R99">
        <v>892</v>
      </c>
      <c r="S99">
        <v>66</v>
      </c>
      <c r="T99">
        <v>1080</v>
      </c>
      <c r="U99">
        <v>0.49668600000000002</v>
      </c>
      <c r="V99">
        <v>4.7281999999999998E-2</v>
      </c>
      <c r="W99">
        <v>3.215E-3</v>
      </c>
      <c r="X99">
        <v>5.11E-3</v>
      </c>
      <c r="Y99">
        <v>0.55235000000000001</v>
      </c>
      <c r="Z99">
        <v>0</v>
      </c>
      <c r="AA99">
        <v>0</v>
      </c>
      <c r="AB99">
        <v>0</v>
      </c>
      <c r="AC99">
        <v>0</v>
      </c>
    </row>
    <row r="100" spans="1:29" x14ac:dyDescent="0.2">
      <c r="A100" t="s">
        <v>29</v>
      </c>
      <c r="B100" t="s">
        <v>30</v>
      </c>
      <c r="C100">
        <v>6400</v>
      </c>
      <c r="D100">
        <v>2148</v>
      </c>
      <c r="E100">
        <v>33.56</v>
      </c>
      <c r="F100">
        <v>4252</v>
      </c>
      <c r="G100">
        <v>66.44</v>
      </c>
      <c r="H100">
        <v>1616</v>
      </c>
      <c r="I100">
        <v>38.01</v>
      </c>
      <c r="J100" t="s">
        <v>31</v>
      </c>
      <c r="K100">
        <v>600</v>
      </c>
      <c r="L100" t="s">
        <v>32</v>
      </c>
      <c r="M100">
        <v>6</v>
      </c>
      <c r="N100">
        <v>6</v>
      </c>
      <c r="O100">
        <v>4283</v>
      </c>
      <c r="P100">
        <v>31</v>
      </c>
      <c r="Q100">
        <v>12</v>
      </c>
      <c r="R100">
        <v>892</v>
      </c>
      <c r="S100">
        <v>68</v>
      </c>
      <c r="T100">
        <v>1080</v>
      </c>
      <c r="U100">
        <v>0.34127400000000002</v>
      </c>
      <c r="V100">
        <v>4.7205999999999998E-2</v>
      </c>
      <c r="W100">
        <v>3.1900000000000001E-3</v>
      </c>
      <c r="X100">
        <v>9.1249999999999994E-3</v>
      </c>
      <c r="Y100">
        <v>0.40084399999999998</v>
      </c>
      <c r="Z100">
        <v>0</v>
      </c>
      <c r="AA100">
        <v>0</v>
      </c>
      <c r="AB100">
        <v>0</v>
      </c>
      <c r="AC100">
        <v>0</v>
      </c>
    </row>
    <row r="101" spans="1:29" x14ac:dyDescent="0.2">
      <c r="A101" t="s">
        <v>29</v>
      </c>
      <c r="B101" t="s">
        <v>30</v>
      </c>
      <c r="C101">
        <v>6400</v>
      </c>
      <c r="D101">
        <v>2148</v>
      </c>
      <c r="E101">
        <v>33.56</v>
      </c>
      <c r="F101">
        <v>4252</v>
      </c>
      <c r="G101">
        <v>66.44</v>
      </c>
      <c r="H101">
        <v>1616</v>
      </c>
      <c r="I101">
        <v>38.01</v>
      </c>
      <c r="J101" t="s">
        <v>31</v>
      </c>
      <c r="K101">
        <v>600</v>
      </c>
      <c r="L101" t="s">
        <v>32</v>
      </c>
      <c r="M101">
        <v>6</v>
      </c>
      <c r="N101">
        <v>6</v>
      </c>
      <c r="O101">
        <v>4276</v>
      </c>
      <c r="P101">
        <v>24</v>
      </c>
      <c r="Q101">
        <v>12</v>
      </c>
      <c r="R101">
        <v>892</v>
      </c>
      <c r="S101">
        <v>68</v>
      </c>
      <c r="T101">
        <v>1080</v>
      </c>
      <c r="U101">
        <v>0.44528499999999999</v>
      </c>
      <c r="V101">
        <v>4.7823999999999998E-2</v>
      </c>
      <c r="W101">
        <v>3.1519999999999999E-3</v>
      </c>
      <c r="X101">
        <v>5.8209999999999998E-3</v>
      </c>
      <c r="Y101">
        <v>0.50213600000000003</v>
      </c>
      <c r="Z101">
        <v>0</v>
      </c>
      <c r="AA101">
        <v>0</v>
      </c>
      <c r="AB101">
        <v>0</v>
      </c>
      <c r="AC101">
        <v>0</v>
      </c>
    </row>
    <row r="102" spans="1:29" x14ac:dyDescent="0.2">
      <c r="N102">
        <f>AVERAGE(Tabella1[number_of_bsss_used])</f>
        <v>6</v>
      </c>
      <c r="O102">
        <f>AVERAGE(Tabella1[cumulative_energy_used_by_uavs])</f>
        <v>4309.34</v>
      </c>
      <c r="P102">
        <f>AVERAGE(Tabella1[cumulative_energy_wasted_by_uavs])</f>
        <v>57.34</v>
      </c>
      <c r="Q102">
        <f>AVERAGE(Tabella1[cumulative_number_of_batteries_used_by_uavs])</f>
        <v>12</v>
      </c>
      <c r="R102">
        <f>AVERAGE(Tabella1[mission_time_seconds])</f>
        <v>892</v>
      </c>
      <c r="S102">
        <f>AVERAGE(Tabella1[bsss_mission_time_seconds])</f>
        <v>70.760000000000005</v>
      </c>
      <c r="T102">
        <f>AVERAGE(Tabella1[cumulative_swap_time_seconds])</f>
        <v>1080</v>
      </c>
      <c r="U102">
        <f>AVERAGE(Tabella1[darp_execution_time_seconds])</f>
        <v>0.46696085999999992</v>
      </c>
      <c r="V102">
        <f>AVERAGE(Tabella1[stc_execution_time_seconds])</f>
        <v>4.755854000000001E-2</v>
      </c>
      <c r="W102">
        <f>AVERAGE(Tabella1[pp_uavs_execution_time_seconds])</f>
        <v>3.1373700000000004E-3</v>
      </c>
      <c r="X102">
        <f>AVERAGE(Tabella1[pp_bsss_execution_time_seconds])</f>
        <v>7.4017500000000012E-3</v>
      </c>
      <c r="Z102">
        <f>AVERAGE(Tabella1[darpfailures])</f>
        <v>0</v>
      </c>
      <c r="AA102">
        <f>AVERAGE(Tabella1[ppbssfailures])</f>
        <v>0</v>
      </c>
      <c r="AB102">
        <f>AVERAGE(Tabella1[ppuavfailures])</f>
        <v>0</v>
      </c>
      <c r="AC102">
        <f>AVERAGE(Tabella1[ppweatherfailures])</f>
        <v>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206FD-192A-194B-B65A-1F2EA245539C}">
  <dimension ref="A1:I603"/>
  <sheetViews>
    <sheetView tabSelected="1" workbookViewId="0">
      <selection activeCell="I8" sqref="I8"/>
    </sheetView>
  </sheetViews>
  <sheetFormatPr baseColWidth="10" defaultRowHeight="16" x14ac:dyDescent="0.2"/>
  <cols>
    <col min="1" max="3" width="11" customWidth="1"/>
  </cols>
  <sheetData>
    <row r="1" spans="1:9" x14ac:dyDescent="0.2">
      <c r="A1" t="s">
        <v>33</v>
      </c>
      <c r="B1">
        <v>600</v>
      </c>
      <c r="H1" t="s">
        <v>34</v>
      </c>
      <c r="I1" t="s">
        <v>35</v>
      </c>
    </row>
    <row r="2" spans="1:9" x14ac:dyDescent="0.2">
      <c r="G2" t="s">
        <v>36</v>
      </c>
      <c r="H2" s="1">
        <f>AVERAGEIF(Tabella2[Colonna1],$G2,Tabella2[Colonna2])/$B$1</f>
        <v>0.97938333333333327</v>
      </c>
      <c r="I2" s="1">
        <f>AVERAGEIF(Tabella2[Colonna1],$G2,Tabella2[Colonna3])/$B$1</f>
        <v>0.20128333333333331</v>
      </c>
    </row>
    <row r="3" spans="1:9" x14ac:dyDescent="0.2">
      <c r="A3" t="s">
        <v>42</v>
      </c>
      <c r="B3" t="s">
        <v>43</v>
      </c>
      <c r="C3" t="s">
        <v>44</v>
      </c>
      <c r="G3" t="s">
        <v>37</v>
      </c>
      <c r="H3" s="1">
        <f>AVERAGEIF(Tabella2[Colonna1],$G3,Tabella2[Colonna2])/$B$1</f>
        <v>0.97714999999999996</v>
      </c>
      <c r="I3" s="1">
        <f>AVERAGEIF(Tabella2[Colonna1],$G3,Tabella2[Colonna3])/$B$1</f>
        <v>0.20378333333333332</v>
      </c>
    </row>
    <row r="4" spans="1:9" x14ac:dyDescent="0.2">
      <c r="A4" t="s">
        <v>36</v>
      </c>
      <c r="B4">
        <v>600</v>
      </c>
      <c r="C4">
        <v>108</v>
      </c>
      <c r="G4" t="s">
        <v>38</v>
      </c>
      <c r="H4" s="1">
        <f>AVERAGEIF(Tabella2[Colonna1],$G4,Tabella2[Colonna2])/$B$1</f>
        <v>0.99103333333333332</v>
      </c>
      <c r="I4" s="1">
        <f>AVERAGEIF(Tabella2[Colonna1],$G4,Tabella2[Colonna3])/$B$1</f>
        <v>0.19009999999999999</v>
      </c>
    </row>
    <row r="5" spans="1:9" x14ac:dyDescent="0.2">
      <c r="A5" t="s">
        <v>37</v>
      </c>
      <c r="B5">
        <v>592</v>
      </c>
      <c r="C5">
        <v>116</v>
      </c>
      <c r="G5" t="s">
        <v>39</v>
      </c>
      <c r="H5" s="1">
        <f>AVERAGEIF(Tabella2[Colonna1],$G5,Tabella2[Colonna2])/$B$1</f>
        <v>0.98416666666666663</v>
      </c>
      <c r="I5" s="1">
        <f>AVERAGEIF(Tabella2[Colonna1],$G5,Tabella2[Colonna3])/$B$1</f>
        <v>0.19643333333333332</v>
      </c>
    </row>
    <row r="6" spans="1:9" x14ac:dyDescent="0.2">
      <c r="A6" t="s">
        <v>38</v>
      </c>
      <c r="B6">
        <v>598</v>
      </c>
      <c r="C6">
        <v>110</v>
      </c>
      <c r="G6" t="s">
        <v>40</v>
      </c>
      <c r="H6" s="1">
        <f>AVERAGEIF(Tabella2[Colonna1],$G6,Tabella2[Colonna2])/$B$1</f>
        <v>0.97966666666666657</v>
      </c>
      <c r="I6" s="1">
        <f>AVERAGEIF(Tabella2[Colonna1],$G6,Tabella2[Colonna3])/$B$1</f>
        <v>0.20219999999999999</v>
      </c>
    </row>
    <row r="7" spans="1:9" x14ac:dyDescent="0.2">
      <c r="A7" t="s">
        <v>39</v>
      </c>
      <c r="B7">
        <v>590</v>
      </c>
      <c r="C7">
        <v>118</v>
      </c>
      <c r="G7" t="s">
        <v>41</v>
      </c>
      <c r="H7" s="1">
        <f>AVERAGEIF(Tabella2[Colonna1],$G7,Tabella2[Colonna2])/$B$1</f>
        <v>0.99303333333333343</v>
      </c>
      <c r="I7" s="1">
        <f>AVERAGEIF(Tabella2[Colonna1],$G7,Tabella2[Colonna3])/$B$1</f>
        <v>0.18843333333333334</v>
      </c>
    </row>
    <row r="8" spans="1:9" x14ac:dyDescent="0.2">
      <c r="A8" t="s">
        <v>40</v>
      </c>
      <c r="B8">
        <v>600</v>
      </c>
      <c r="C8">
        <v>112</v>
      </c>
      <c r="H8" s="2">
        <f>AVERAGE(H2:H7)</f>
        <v>0.98407222222222224</v>
      </c>
      <c r="I8" s="2">
        <f>AVERAGE(I2:I7)</f>
        <v>0.1970388888888889</v>
      </c>
    </row>
    <row r="9" spans="1:9" x14ac:dyDescent="0.2">
      <c r="A9" t="s">
        <v>41</v>
      </c>
      <c r="B9">
        <v>596</v>
      </c>
      <c r="C9">
        <v>112</v>
      </c>
    </row>
    <row r="10" spans="1:9" x14ac:dyDescent="0.2">
      <c r="A10" t="s">
        <v>36</v>
      </c>
      <c r="B10">
        <v>600</v>
      </c>
      <c r="C10">
        <v>108</v>
      </c>
    </row>
    <row r="11" spans="1:9" x14ac:dyDescent="0.2">
      <c r="A11" t="s">
        <v>37</v>
      </c>
      <c r="B11">
        <v>600</v>
      </c>
      <c r="C11">
        <v>108</v>
      </c>
    </row>
    <row r="12" spans="1:9" x14ac:dyDescent="0.2">
      <c r="A12" t="s">
        <v>38</v>
      </c>
      <c r="B12">
        <v>590</v>
      </c>
      <c r="C12">
        <v>118</v>
      </c>
    </row>
    <row r="13" spans="1:9" x14ac:dyDescent="0.2">
      <c r="A13" t="s">
        <v>39</v>
      </c>
      <c r="B13">
        <v>589</v>
      </c>
      <c r="C13">
        <v>123</v>
      </c>
    </row>
    <row r="14" spans="1:9" x14ac:dyDescent="0.2">
      <c r="A14" t="s">
        <v>40</v>
      </c>
      <c r="B14">
        <v>594</v>
      </c>
      <c r="C14">
        <v>114</v>
      </c>
    </row>
    <row r="15" spans="1:9" x14ac:dyDescent="0.2">
      <c r="A15" t="s">
        <v>41</v>
      </c>
      <c r="B15">
        <v>600</v>
      </c>
      <c r="C15">
        <v>108</v>
      </c>
    </row>
    <row r="16" spans="1:9" x14ac:dyDescent="0.2">
      <c r="A16" t="s">
        <v>36</v>
      </c>
      <c r="B16">
        <v>584</v>
      </c>
      <c r="C16">
        <v>124</v>
      </c>
    </row>
    <row r="17" spans="1:3" x14ac:dyDescent="0.2">
      <c r="A17" t="s">
        <v>37</v>
      </c>
      <c r="B17">
        <v>600</v>
      </c>
      <c r="C17">
        <v>108</v>
      </c>
    </row>
    <row r="18" spans="1:3" x14ac:dyDescent="0.2">
      <c r="A18" t="s">
        <v>38</v>
      </c>
      <c r="B18">
        <v>600</v>
      </c>
      <c r="C18">
        <v>108</v>
      </c>
    </row>
    <row r="19" spans="1:3" x14ac:dyDescent="0.2">
      <c r="A19" t="s">
        <v>39</v>
      </c>
      <c r="B19">
        <v>555</v>
      </c>
      <c r="C19">
        <v>153</v>
      </c>
    </row>
    <row r="20" spans="1:3" x14ac:dyDescent="0.2">
      <c r="A20" t="s">
        <v>40</v>
      </c>
      <c r="B20">
        <v>594</v>
      </c>
      <c r="C20">
        <v>118</v>
      </c>
    </row>
    <row r="21" spans="1:3" x14ac:dyDescent="0.2">
      <c r="A21" t="s">
        <v>41</v>
      </c>
      <c r="B21">
        <v>600</v>
      </c>
      <c r="C21">
        <v>108</v>
      </c>
    </row>
    <row r="22" spans="1:3" x14ac:dyDescent="0.2">
      <c r="A22" t="s">
        <v>36</v>
      </c>
      <c r="B22">
        <v>596</v>
      </c>
      <c r="C22">
        <v>112</v>
      </c>
    </row>
    <row r="23" spans="1:3" x14ac:dyDescent="0.2">
      <c r="A23" t="s">
        <v>37</v>
      </c>
      <c r="B23">
        <v>600</v>
      </c>
      <c r="C23">
        <v>108</v>
      </c>
    </row>
    <row r="24" spans="1:3" x14ac:dyDescent="0.2">
      <c r="A24" t="s">
        <v>38</v>
      </c>
      <c r="B24">
        <v>592</v>
      </c>
      <c r="C24">
        <v>116</v>
      </c>
    </row>
    <row r="25" spans="1:3" x14ac:dyDescent="0.2">
      <c r="A25" t="s">
        <v>39</v>
      </c>
      <c r="B25">
        <v>592</v>
      </c>
      <c r="C25">
        <v>116</v>
      </c>
    </row>
    <row r="26" spans="1:3" x14ac:dyDescent="0.2">
      <c r="A26" t="s">
        <v>40</v>
      </c>
      <c r="B26">
        <v>598</v>
      </c>
      <c r="C26">
        <v>114</v>
      </c>
    </row>
    <row r="27" spans="1:3" x14ac:dyDescent="0.2">
      <c r="A27" t="s">
        <v>41</v>
      </c>
      <c r="B27">
        <v>600</v>
      </c>
      <c r="C27">
        <v>108</v>
      </c>
    </row>
    <row r="28" spans="1:3" x14ac:dyDescent="0.2">
      <c r="A28" t="s">
        <v>36</v>
      </c>
      <c r="B28">
        <v>592</v>
      </c>
      <c r="C28">
        <v>116</v>
      </c>
    </row>
    <row r="29" spans="1:3" x14ac:dyDescent="0.2">
      <c r="A29" t="s">
        <v>37</v>
      </c>
      <c r="B29">
        <v>586</v>
      </c>
      <c r="C29">
        <v>122</v>
      </c>
    </row>
    <row r="30" spans="1:3" x14ac:dyDescent="0.2">
      <c r="A30" t="s">
        <v>38</v>
      </c>
      <c r="B30">
        <v>600</v>
      </c>
      <c r="C30">
        <v>112</v>
      </c>
    </row>
    <row r="31" spans="1:3" x14ac:dyDescent="0.2">
      <c r="A31" t="s">
        <v>39</v>
      </c>
      <c r="B31">
        <v>598</v>
      </c>
      <c r="C31">
        <v>110</v>
      </c>
    </row>
    <row r="32" spans="1:3" x14ac:dyDescent="0.2">
      <c r="A32" t="s">
        <v>40</v>
      </c>
      <c r="B32">
        <v>600</v>
      </c>
      <c r="C32">
        <v>108</v>
      </c>
    </row>
    <row r="33" spans="1:3" x14ac:dyDescent="0.2">
      <c r="A33" t="s">
        <v>41</v>
      </c>
      <c r="B33">
        <v>568</v>
      </c>
      <c r="C33">
        <v>140</v>
      </c>
    </row>
    <row r="34" spans="1:3" x14ac:dyDescent="0.2">
      <c r="A34" t="s">
        <v>36</v>
      </c>
      <c r="B34">
        <v>596</v>
      </c>
      <c r="C34">
        <v>112</v>
      </c>
    </row>
    <row r="35" spans="1:3" x14ac:dyDescent="0.2">
      <c r="A35" t="s">
        <v>37</v>
      </c>
      <c r="B35">
        <v>600</v>
      </c>
      <c r="C35">
        <v>108</v>
      </c>
    </row>
    <row r="36" spans="1:3" x14ac:dyDescent="0.2">
      <c r="A36" t="s">
        <v>38</v>
      </c>
      <c r="B36">
        <v>594</v>
      </c>
      <c r="C36">
        <v>114</v>
      </c>
    </row>
    <row r="37" spans="1:3" x14ac:dyDescent="0.2">
      <c r="A37" t="s">
        <v>39</v>
      </c>
      <c r="B37">
        <v>596</v>
      </c>
      <c r="C37">
        <v>112</v>
      </c>
    </row>
    <row r="38" spans="1:3" x14ac:dyDescent="0.2">
      <c r="A38" t="s">
        <v>40</v>
      </c>
      <c r="B38">
        <v>594</v>
      </c>
      <c r="C38">
        <v>118</v>
      </c>
    </row>
    <row r="39" spans="1:3" x14ac:dyDescent="0.2">
      <c r="A39" t="s">
        <v>41</v>
      </c>
      <c r="B39">
        <v>592</v>
      </c>
      <c r="C39">
        <v>116</v>
      </c>
    </row>
    <row r="40" spans="1:3" x14ac:dyDescent="0.2">
      <c r="A40" t="s">
        <v>36</v>
      </c>
      <c r="B40">
        <v>598</v>
      </c>
      <c r="C40">
        <v>110</v>
      </c>
    </row>
    <row r="41" spans="1:3" x14ac:dyDescent="0.2">
      <c r="A41" t="s">
        <v>37</v>
      </c>
      <c r="B41">
        <v>598</v>
      </c>
      <c r="C41">
        <v>110</v>
      </c>
    </row>
    <row r="42" spans="1:3" x14ac:dyDescent="0.2">
      <c r="A42" t="s">
        <v>38</v>
      </c>
      <c r="B42">
        <v>596</v>
      </c>
      <c r="C42">
        <v>112</v>
      </c>
    </row>
    <row r="43" spans="1:3" x14ac:dyDescent="0.2">
      <c r="A43" t="s">
        <v>39</v>
      </c>
      <c r="B43">
        <v>583</v>
      </c>
      <c r="C43">
        <v>125</v>
      </c>
    </row>
    <row r="44" spans="1:3" x14ac:dyDescent="0.2">
      <c r="A44" t="s">
        <v>40</v>
      </c>
      <c r="B44">
        <v>598</v>
      </c>
      <c r="C44">
        <v>114</v>
      </c>
    </row>
    <row r="45" spans="1:3" x14ac:dyDescent="0.2">
      <c r="A45" t="s">
        <v>41</v>
      </c>
      <c r="B45">
        <v>598</v>
      </c>
      <c r="C45">
        <v>110</v>
      </c>
    </row>
    <row r="46" spans="1:3" x14ac:dyDescent="0.2">
      <c r="A46" t="s">
        <v>36</v>
      </c>
      <c r="B46">
        <v>593</v>
      </c>
      <c r="C46">
        <v>115</v>
      </c>
    </row>
    <row r="47" spans="1:3" x14ac:dyDescent="0.2">
      <c r="A47" t="s">
        <v>37</v>
      </c>
      <c r="B47">
        <v>600</v>
      </c>
      <c r="C47">
        <v>108</v>
      </c>
    </row>
    <row r="48" spans="1:3" x14ac:dyDescent="0.2">
      <c r="A48" t="s">
        <v>38</v>
      </c>
      <c r="B48">
        <v>598</v>
      </c>
      <c r="C48">
        <v>110</v>
      </c>
    </row>
    <row r="49" spans="1:3" x14ac:dyDescent="0.2">
      <c r="A49" t="s">
        <v>39</v>
      </c>
      <c r="B49">
        <v>575</v>
      </c>
      <c r="C49">
        <v>137</v>
      </c>
    </row>
    <row r="50" spans="1:3" x14ac:dyDescent="0.2">
      <c r="A50" t="s">
        <v>40</v>
      </c>
      <c r="B50">
        <v>574</v>
      </c>
      <c r="C50">
        <v>134</v>
      </c>
    </row>
    <row r="51" spans="1:3" x14ac:dyDescent="0.2">
      <c r="A51" t="s">
        <v>41</v>
      </c>
      <c r="B51">
        <v>590</v>
      </c>
      <c r="C51">
        <v>118</v>
      </c>
    </row>
    <row r="52" spans="1:3" x14ac:dyDescent="0.2">
      <c r="A52" t="s">
        <v>36</v>
      </c>
      <c r="B52">
        <v>600</v>
      </c>
      <c r="C52">
        <v>108</v>
      </c>
    </row>
    <row r="53" spans="1:3" x14ac:dyDescent="0.2">
      <c r="A53" t="s">
        <v>37</v>
      </c>
      <c r="B53">
        <v>590</v>
      </c>
      <c r="C53">
        <v>118</v>
      </c>
    </row>
    <row r="54" spans="1:3" x14ac:dyDescent="0.2">
      <c r="A54" t="s">
        <v>38</v>
      </c>
      <c r="B54">
        <v>590</v>
      </c>
      <c r="C54">
        <v>118</v>
      </c>
    </row>
    <row r="55" spans="1:3" x14ac:dyDescent="0.2">
      <c r="A55" t="s">
        <v>39</v>
      </c>
      <c r="B55">
        <v>600</v>
      </c>
      <c r="C55">
        <v>108</v>
      </c>
    </row>
    <row r="56" spans="1:3" x14ac:dyDescent="0.2">
      <c r="A56" t="s">
        <v>40</v>
      </c>
      <c r="B56">
        <v>594</v>
      </c>
      <c r="C56">
        <v>118</v>
      </c>
    </row>
    <row r="57" spans="1:3" x14ac:dyDescent="0.2">
      <c r="A57" t="s">
        <v>41</v>
      </c>
      <c r="B57">
        <v>600</v>
      </c>
      <c r="C57">
        <v>108</v>
      </c>
    </row>
    <row r="58" spans="1:3" x14ac:dyDescent="0.2">
      <c r="A58" t="s">
        <v>36</v>
      </c>
      <c r="B58">
        <v>588</v>
      </c>
      <c r="C58">
        <v>120</v>
      </c>
    </row>
    <row r="59" spans="1:3" x14ac:dyDescent="0.2">
      <c r="A59" t="s">
        <v>37</v>
      </c>
      <c r="B59">
        <v>598</v>
      </c>
      <c r="C59">
        <v>110</v>
      </c>
    </row>
    <row r="60" spans="1:3" x14ac:dyDescent="0.2">
      <c r="A60" t="s">
        <v>38</v>
      </c>
      <c r="B60">
        <v>596</v>
      </c>
      <c r="C60">
        <v>112</v>
      </c>
    </row>
    <row r="61" spans="1:3" x14ac:dyDescent="0.2">
      <c r="A61" t="s">
        <v>39</v>
      </c>
      <c r="B61">
        <v>595</v>
      </c>
      <c r="C61">
        <v>113</v>
      </c>
    </row>
    <row r="62" spans="1:3" x14ac:dyDescent="0.2">
      <c r="A62" t="s">
        <v>40</v>
      </c>
      <c r="B62">
        <v>585</v>
      </c>
      <c r="C62">
        <v>127</v>
      </c>
    </row>
    <row r="63" spans="1:3" x14ac:dyDescent="0.2">
      <c r="A63" t="s">
        <v>41</v>
      </c>
      <c r="B63">
        <v>600</v>
      </c>
      <c r="C63">
        <v>108</v>
      </c>
    </row>
    <row r="64" spans="1:3" x14ac:dyDescent="0.2">
      <c r="A64" t="s">
        <v>36</v>
      </c>
      <c r="B64">
        <v>591</v>
      </c>
      <c r="C64">
        <v>117</v>
      </c>
    </row>
    <row r="65" spans="1:3" x14ac:dyDescent="0.2">
      <c r="A65" t="s">
        <v>37</v>
      </c>
      <c r="B65">
        <v>581</v>
      </c>
      <c r="C65">
        <v>127</v>
      </c>
    </row>
    <row r="66" spans="1:3" x14ac:dyDescent="0.2">
      <c r="A66" t="s">
        <v>38</v>
      </c>
      <c r="B66">
        <v>600</v>
      </c>
      <c r="C66">
        <v>108</v>
      </c>
    </row>
    <row r="67" spans="1:3" x14ac:dyDescent="0.2">
      <c r="A67" t="s">
        <v>39</v>
      </c>
      <c r="B67">
        <v>600</v>
      </c>
      <c r="C67">
        <v>112</v>
      </c>
    </row>
    <row r="68" spans="1:3" x14ac:dyDescent="0.2">
      <c r="A68" t="s">
        <v>40</v>
      </c>
      <c r="B68">
        <v>589</v>
      </c>
      <c r="C68">
        <v>119</v>
      </c>
    </row>
    <row r="69" spans="1:3" x14ac:dyDescent="0.2">
      <c r="A69" t="s">
        <v>41</v>
      </c>
      <c r="B69">
        <v>600</v>
      </c>
      <c r="C69">
        <v>108</v>
      </c>
    </row>
    <row r="70" spans="1:3" x14ac:dyDescent="0.2">
      <c r="A70" t="s">
        <v>36</v>
      </c>
      <c r="B70">
        <v>600</v>
      </c>
      <c r="C70">
        <v>108</v>
      </c>
    </row>
    <row r="71" spans="1:3" x14ac:dyDescent="0.2">
      <c r="A71" t="s">
        <v>37</v>
      </c>
      <c r="B71">
        <v>600</v>
      </c>
      <c r="C71">
        <v>112</v>
      </c>
    </row>
    <row r="72" spans="1:3" x14ac:dyDescent="0.2">
      <c r="A72" t="s">
        <v>38</v>
      </c>
      <c r="B72">
        <v>596</v>
      </c>
      <c r="C72">
        <v>112</v>
      </c>
    </row>
    <row r="73" spans="1:3" x14ac:dyDescent="0.2">
      <c r="A73" t="s">
        <v>39</v>
      </c>
      <c r="B73">
        <v>588</v>
      </c>
      <c r="C73">
        <v>120</v>
      </c>
    </row>
    <row r="74" spans="1:3" x14ac:dyDescent="0.2">
      <c r="A74" t="s">
        <v>40</v>
      </c>
      <c r="B74">
        <v>598</v>
      </c>
      <c r="C74">
        <v>110</v>
      </c>
    </row>
    <row r="75" spans="1:3" x14ac:dyDescent="0.2">
      <c r="A75" t="s">
        <v>41</v>
      </c>
      <c r="B75">
        <v>596</v>
      </c>
      <c r="C75">
        <v>112</v>
      </c>
    </row>
    <row r="76" spans="1:3" x14ac:dyDescent="0.2">
      <c r="A76" t="s">
        <v>36</v>
      </c>
      <c r="B76">
        <v>596</v>
      </c>
      <c r="C76">
        <v>112</v>
      </c>
    </row>
    <row r="77" spans="1:3" x14ac:dyDescent="0.2">
      <c r="A77" t="s">
        <v>37</v>
      </c>
      <c r="B77">
        <v>578</v>
      </c>
      <c r="C77">
        <v>130</v>
      </c>
    </row>
    <row r="78" spans="1:3" x14ac:dyDescent="0.2">
      <c r="A78" t="s">
        <v>38</v>
      </c>
      <c r="B78">
        <v>598</v>
      </c>
      <c r="C78">
        <v>110</v>
      </c>
    </row>
    <row r="79" spans="1:3" x14ac:dyDescent="0.2">
      <c r="A79" t="s">
        <v>39</v>
      </c>
      <c r="B79">
        <v>588</v>
      </c>
      <c r="C79">
        <v>120</v>
      </c>
    </row>
    <row r="80" spans="1:3" x14ac:dyDescent="0.2">
      <c r="A80" t="s">
        <v>40</v>
      </c>
      <c r="B80">
        <v>578</v>
      </c>
      <c r="C80">
        <v>134</v>
      </c>
    </row>
    <row r="81" spans="1:3" x14ac:dyDescent="0.2">
      <c r="A81" t="s">
        <v>41</v>
      </c>
      <c r="B81">
        <v>600</v>
      </c>
      <c r="C81">
        <v>108</v>
      </c>
    </row>
    <row r="82" spans="1:3" x14ac:dyDescent="0.2">
      <c r="A82" t="s">
        <v>36</v>
      </c>
      <c r="B82">
        <v>592</v>
      </c>
      <c r="C82">
        <v>116</v>
      </c>
    </row>
    <row r="83" spans="1:3" x14ac:dyDescent="0.2">
      <c r="A83" t="s">
        <v>37</v>
      </c>
      <c r="B83">
        <v>600</v>
      </c>
      <c r="C83">
        <v>108</v>
      </c>
    </row>
    <row r="84" spans="1:3" x14ac:dyDescent="0.2">
      <c r="A84" t="s">
        <v>38</v>
      </c>
      <c r="B84">
        <v>598</v>
      </c>
      <c r="C84">
        <v>110</v>
      </c>
    </row>
    <row r="85" spans="1:3" x14ac:dyDescent="0.2">
      <c r="A85" t="s">
        <v>39</v>
      </c>
      <c r="B85">
        <v>592</v>
      </c>
      <c r="C85">
        <v>116</v>
      </c>
    </row>
    <row r="86" spans="1:3" x14ac:dyDescent="0.2">
      <c r="A86" t="s">
        <v>40</v>
      </c>
      <c r="B86">
        <v>600</v>
      </c>
      <c r="C86">
        <v>112</v>
      </c>
    </row>
    <row r="87" spans="1:3" x14ac:dyDescent="0.2">
      <c r="A87" t="s">
        <v>41</v>
      </c>
      <c r="B87">
        <v>594</v>
      </c>
      <c r="C87">
        <v>114</v>
      </c>
    </row>
    <row r="88" spans="1:3" x14ac:dyDescent="0.2">
      <c r="A88" t="s">
        <v>36</v>
      </c>
      <c r="B88">
        <v>600</v>
      </c>
      <c r="C88">
        <v>108</v>
      </c>
    </row>
    <row r="89" spans="1:3" x14ac:dyDescent="0.2">
      <c r="A89" t="s">
        <v>37</v>
      </c>
      <c r="B89">
        <v>600</v>
      </c>
      <c r="C89">
        <v>108</v>
      </c>
    </row>
    <row r="90" spans="1:3" x14ac:dyDescent="0.2">
      <c r="A90" t="s">
        <v>38</v>
      </c>
      <c r="B90">
        <v>596</v>
      </c>
      <c r="C90">
        <v>112</v>
      </c>
    </row>
    <row r="91" spans="1:3" x14ac:dyDescent="0.2">
      <c r="A91" t="s">
        <v>39</v>
      </c>
      <c r="B91">
        <v>595</v>
      </c>
      <c r="C91">
        <v>113</v>
      </c>
    </row>
    <row r="92" spans="1:3" x14ac:dyDescent="0.2">
      <c r="A92" t="s">
        <v>40</v>
      </c>
      <c r="B92">
        <v>578</v>
      </c>
      <c r="C92">
        <v>134</v>
      </c>
    </row>
    <row r="93" spans="1:3" x14ac:dyDescent="0.2">
      <c r="A93" t="s">
        <v>41</v>
      </c>
      <c r="B93">
        <v>598</v>
      </c>
      <c r="C93">
        <v>110</v>
      </c>
    </row>
    <row r="94" spans="1:3" x14ac:dyDescent="0.2">
      <c r="A94" t="s">
        <v>36</v>
      </c>
      <c r="B94">
        <v>592</v>
      </c>
      <c r="C94">
        <v>116</v>
      </c>
    </row>
    <row r="95" spans="1:3" x14ac:dyDescent="0.2">
      <c r="A95" t="s">
        <v>37</v>
      </c>
      <c r="B95">
        <v>526</v>
      </c>
      <c r="C95">
        <v>182</v>
      </c>
    </row>
    <row r="96" spans="1:3" x14ac:dyDescent="0.2">
      <c r="A96" t="s">
        <v>38</v>
      </c>
      <c r="B96">
        <v>594</v>
      </c>
      <c r="C96">
        <v>114</v>
      </c>
    </row>
    <row r="97" spans="1:3" x14ac:dyDescent="0.2">
      <c r="A97" t="s">
        <v>39</v>
      </c>
      <c r="B97">
        <v>600</v>
      </c>
      <c r="C97">
        <v>108</v>
      </c>
    </row>
    <row r="98" spans="1:3" x14ac:dyDescent="0.2">
      <c r="A98" t="s">
        <v>40</v>
      </c>
      <c r="B98">
        <v>587</v>
      </c>
      <c r="C98">
        <v>121</v>
      </c>
    </row>
    <row r="99" spans="1:3" x14ac:dyDescent="0.2">
      <c r="A99" t="s">
        <v>41</v>
      </c>
      <c r="B99">
        <v>598</v>
      </c>
      <c r="C99">
        <v>114</v>
      </c>
    </row>
    <row r="100" spans="1:3" x14ac:dyDescent="0.2">
      <c r="A100" t="s">
        <v>36</v>
      </c>
      <c r="B100">
        <v>600</v>
      </c>
      <c r="C100">
        <v>108</v>
      </c>
    </row>
    <row r="101" spans="1:3" x14ac:dyDescent="0.2">
      <c r="A101" t="s">
        <v>37</v>
      </c>
      <c r="B101">
        <v>590</v>
      </c>
      <c r="C101">
        <v>118</v>
      </c>
    </row>
    <row r="102" spans="1:3" x14ac:dyDescent="0.2">
      <c r="A102" t="s">
        <v>38</v>
      </c>
      <c r="B102">
        <v>600</v>
      </c>
      <c r="C102">
        <v>108</v>
      </c>
    </row>
    <row r="103" spans="1:3" x14ac:dyDescent="0.2">
      <c r="A103" t="s">
        <v>39</v>
      </c>
      <c r="B103">
        <v>599</v>
      </c>
      <c r="C103">
        <v>109</v>
      </c>
    </row>
    <row r="104" spans="1:3" x14ac:dyDescent="0.2">
      <c r="A104" t="s">
        <v>40</v>
      </c>
      <c r="B104">
        <v>600</v>
      </c>
      <c r="C104">
        <v>112</v>
      </c>
    </row>
    <row r="105" spans="1:3" x14ac:dyDescent="0.2">
      <c r="A105" t="s">
        <v>41</v>
      </c>
      <c r="B105">
        <v>588</v>
      </c>
      <c r="C105">
        <v>120</v>
      </c>
    </row>
    <row r="106" spans="1:3" x14ac:dyDescent="0.2">
      <c r="A106" t="s">
        <v>36</v>
      </c>
      <c r="B106">
        <v>600</v>
      </c>
      <c r="C106">
        <v>108</v>
      </c>
    </row>
    <row r="107" spans="1:3" x14ac:dyDescent="0.2">
      <c r="A107" t="s">
        <v>37</v>
      </c>
      <c r="B107">
        <v>519</v>
      </c>
      <c r="C107">
        <v>189</v>
      </c>
    </row>
    <row r="108" spans="1:3" x14ac:dyDescent="0.2">
      <c r="A108" t="s">
        <v>38</v>
      </c>
      <c r="B108">
        <v>592</v>
      </c>
      <c r="C108">
        <v>120</v>
      </c>
    </row>
    <row r="109" spans="1:3" x14ac:dyDescent="0.2">
      <c r="A109" t="s">
        <v>39</v>
      </c>
      <c r="B109">
        <v>592</v>
      </c>
      <c r="C109">
        <v>116</v>
      </c>
    </row>
    <row r="110" spans="1:3" x14ac:dyDescent="0.2">
      <c r="A110" t="s">
        <v>40</v>
      </c>
      <c r="B110">
        <v>600</v>
      </c>
      <c r="C110">
        <v>108</v>
      </c>
    </row>
    <row r="111" spans="1:3" x14ac:dyDescent="0.2">
      <c r="A111" t="s">
        <v>41</v>
      </c>
      <c r="B111">
        <v>596</v>
      </c>
      <c r="C111">
        <v>112</v>
      </c>
    </row>
    <row r="112" spans="1:3" x14ac:dyDescent="0.2">
      <c r="A112" t="s">
        <v>36</v>
      </c>
      <c r="B112">
        <v>598</v>
      </c>
      <c r="C112">
        <v>110</v>
      </c>
    </row>
    <row r="113" spans="1:3" x14ac:dyDescent="0.2">
      <c r="A113" t="s">
        <v>37</v>
      </c>
      <c r="B113">
        <v>592</v>
      </c>
      <c r="C113">
        <v>116</v>
      </c>
    </row>
    <row r="114" spans="1:3" x14ac:dyDescent="0.2">
      <c r="A114" t="s">
        <v>38</v>
      </c>
      <c r="B114">
        <v>600</v>
      </c>
      <c r="C114">
        <v>108</v>
      </c>
    </row>
    <row r="115" spans="1:3" x14ac:dyDescent="0.2">
      <c r="A115" t="s">
        <v>39</v>
      </c>
      <c r="B115">
        <v>565</v>
      </c>
      <c r="C115">
        <v>143</v>
      </c>
    </row>
    <row r="116" spans="1:3" x14ac:dyDescent="0.2">
      <c r="A116" t="s">
        <v>40</v>
      </c>
      <c r="B116">
        <v>591</v>
      </c>
      <c r="C116">
        <v>121</v>
      </c>
    </row>
    <row r="117" spans="1:3" x14ac:dyDescent="0.2">
      <c r="A117" t="s">
        <v>41</v>
      </c>
      <c r="B117">
        <v>600</v>
      </c>
      <c r="C117">
        <v>108</v>
      </c>
    </row>
    <row r="118" spans="1:3" x14ac:dyDescent="0.2">
      <c r="A118" t="s">
        <v>36</v>
      </c>
      <c r="B118">
        <v>588</v>
      </c>
      <c r="C118">
        <v>120</v>
      </c>
    </row>
    <row r="119" spans="1:3" x14ac:dyDescent="0.2">
      <c r="A119" t="s">
        <v>37</v>
      </c>
      <c r="B119">
        <v>553</v>
      </c>
      <c r="C119">
        <v>155</v>
      </c>
    </row>
    <row r="120" spans="1:3" x14ac:dyDescent="0.2">
      <c r="A120" t="s">
        <v>38</v>
      </c>
      <c r="B120">
        <v>600</v>
      </c>
      <c r="C120">
        <v>112</v>
      </c>
    </row>
    <row r="121" spans="1:3" x14ac:dyDescent="0.2">
      <c r="A121" t="s">
        <v>39</v>
      </c>
      <c r="B121">
        <v>594</v>
      </c>
      <c r="C121">
        <v>114</v>
      </c>
    </row>
    <row r="122" spans="1:3" x14ac:dyDescent="0.2">
      <c r="A122" t="s">
        <v>40</v>
      </c>
      <c r="B122">
        <v>600</v>
      </c>
      <c r="C122">
        <v>108</v>
      </c>
    </row>
    <row r="123" spans="1:3" x14ac:dyDescent="0.2">
      <c r="A123" t="s">
        <v>41</v>
      </c>
      <c r="B123">
        <v>598</v>
      </c>
      <c r="C123">
        <v>110</v>
      </c>
    </row>
    <row r="124" spans="1:3" x14ac:dyDescent="0.2">
      <c r="A124" t="s">
        <v>36</v>
      </c>
      <c r="B124">
        <v>600</v>
      </c>
      <c r="C124">
        <v>108</v>
      </c>
    </row>
    <row r="125" spans="1:3" x14ac:dyDescent="0.2">
      <c r="A125" t="s">
        <v>37</v>
      </c>
      <c r="B125">
        <v>598</v>
      </c>
      <c r="C125">
        <v>110</v>
      </c>
    </row>
    <row r="126" spans="1:3" x14ac:dyDescent="0.2">
      <c r="A126" t="s">
        <v>38</v>
      </c>
      <c r="B126">
        <v>598</v>
      </c>
      <c r="C126">
        <v>114</v>
      </c>
    </row>
    <row r="127" spans="1:3" x14ac:dyDescent="0.2">
      <c r="A127" t="s">
        <v>39</v>
      </c>
      <c r="B127">
        <v>594</v>
      </c>
      <c r="C127">
        <v>114</v>
      </c>
    </row>
    <row r="128" spans="1:3" x14ac:dyDescent="0.2">
      <c r="A128" t="s">
        <v>40</v>
      </c>
      <c r="B128">
        <v>578</v>
      </c>
      <c r="C128">
        <v>130</v>
      </c>
    </row>
    <row r="129" spans="1:3" x14ac:dyDescent="0.2">
      <c r="A129" t="s">
        <v>41</v>
      </c>
      <c r="B129">
        <v>600</v>
      </c>
      <c r="C129">
        <v>108</v>
      </c>
    </row>
    <row r="130" spans="1:3" x14ac:dyDescent="0.2">
      <c r="A130" t="s">
        <v>36</v>
      </c>
      <c r="B130">
        <v>600</v>
      </c>
      <c r="C130">
        <v>108</v>
      </c>
    </row>
    <row r="131" spans="1:3" x14ac:dyDescent="0.2">
      <c r="A131" t="s">
        <v>37</v>
      </c>
      <c r="B131">
        <v>600</v>
      </c>
      <c r="C131">
        <v>108</v>
      </c>
    </row>
    <row r="132" spans="1:3" x14ac:dyDescent="0.2">
      <c r="A132" t="s">
        <v>38</v>
      </c>
      <c r="B132">
        <v>598</v>
      </c>
      <c r="C132">
        <v>114</v>
      </c>
    </row>
    <row r="133" spans="1:3" x14ac:dyDescent="0.2">
      <c r="A133" t="s">
        <v>39</v>
      </c>
      <c r="B133">
        <v>600</v>
      </c>
      <c r="C133">
        <v>108</v>
      </c>
    </row>
    <row r="134" spans="1:3" x14ac:dyDescent="0.2">
      <c r="A134" t="s">
        <v>40</v>
      </c>
      <c r="B134">
        <v>593</v>
      </c>
      <c r="C134">
        <v>115</v>
      </c>
    </row>
    <row r="135" spans="1:3" x14ac:dyDescent="0.2">
      <c r="A135" t="s">
        <v>41</v>
      </c>
      <c r="B135">
        <v>600</v>
      </c>
      <c r="C135">
        <v>108</v>
      </c>
    </row>
    <row r="136" spans="1:3" x14ac:dyDescent="0.2">
      <c r="A136" t="s">
        <v>36</v>
      </c>
      <c r="B136">
        <v>600</v>
      </c>
      <c r="C136">
        <v>108</v>
      </c>
    </row>
    <row r="137" spans="1:3" x14ac:dyDescent="0.2">
      <c r="A137" t="s">
        <v>37</v>
      </c>
      <c r="B137">
        <v>600</v>
      </c>
      <c r="C137">
        <v>108</v>
      </c>
    </row>
    <row r="138" spans="1:3" x14ac:dyDescent="0.2">
      <c r="A138" t="s">
        <v>38</v>
      </c>
      <c r="B138">
        <v>600</v>
      </c>
      <c r="C138">
        <v>108</v>
      </c>
    </row>
    <row r="139" spans="1:3" x14ac:dyDescent="0.2">
      <c r="A139" t="s">
        <v>39</v>
      </c>
      <c r="B139">
        <v>575</v>
      </c>
      <c r="C139">
        <v>137</v>
      </c>
    </row>
    <row r="140" spans="1:3" x14ac:dyDescent="0.2">
      <c r="A140" t="s">
        <v>40</v>
      </c>
      <c r="B140">
        <v>586</v>
      </c>
      <c r="C140">
        <v>122</v>
      </c>
    </row>
    <row r="141" spans="1:3" x14ac:dyDescent="0.2">
      <c r="A141" t="s">
        <v>41</v>
      </c>
      <c r="B141">
        <v>589</v>
      </c>
      <c r="C141">
        <v>119</v>
      </c>
    </row>
    <row r="142" spans="1:3" x14ac:dyDescent="0.2">
      <c r="A142" t="s">
        <v>36</v>
      </c>
      <c r="B142">
        <v>592</v>
      </c>
      <c r="C142">
        <v>116</v>
      </c>
    </row>
    <row r="143" spans="1:3" x14ac:dyDescent="0.2">
      <c r="A143" t="s">
        <v>37</v>
      </c>
      <c r="B143">
        <v>572</v>
      </c>
      <c r="C143">
        <v>136</v>
      </c>
    </row>
    <row r="144" spans="1:3" x14ac:dyDescent="0.2">
      <c r="A144" t="s">
        <v>38</v>
      </c>
      <c r="B144">
        <v>600</v>
      </c>
      <c r="C144">
        <v>108</v>
      </c>
    </row>
    <row r="145" spans="1:3" x14ac:dyDescent="0.2">
      <c r="A145" t="s">
        <v>39</v>
      </c>
      <c r="B145">
        <v>591</v>
      </c>
      <c r="C145">
        <v>117</v>
      </c>
    </row>
    <row r="146" spans="1:3" x14ac:dyDescent="0.2">
      <c r="A146" t="s">
        <v>40</v>
      </c>
      <c r="B146">
        <v>599</v>
      </c>
      <c r="C146">
        <v>113</v>
      </c>
    </row>
    <row r="147" spans="1:3" x14ac:dyDescent="0.2">
      <c r="A147" t="s">
        <v>41</v>
      </c>
      <c r="B147">
        <v>592</v>
      </c>
      <c r="C147">
        <v>116</v>
      </c>
    </row>
    <row r="148" spans="1:3" x14ac:dyDescent="0.2">
      <c r="A148" t="s">
        <v>36</v>
      </c>
      <c r="B148">
        <v>594</v>
      </c>
      <c r="C148">
        <v>118</v>
      </c>
    </row>
    <row r="149" spans="1:3" x14ac:dyDescent="0.2">
      <c r="A149" t="s">
        <v>37</v>
      </c>
      <c r="B149">
        <v>600</v>
      </c>
      <c r="C149">
        <v>108</v>
      </c>
    </row>
    <row r="150" spans="1:3" x14ac:dyDescent="0.2">
      <c r="A150" t="s">
        <v>38</v>
      </c>
      <c r="B150">
        <v>592</v>
      </c>
      <c r="C150">
        <v>116</v>
      </c>
    </row>
    <row r="151" spans="1:3" x14ac:dyDescent="0.2">
      <c r="A151" t="s">
        <v>39</v>
      </c>
      <c r="B151">
        <v>600</v>
      </c>
      <c r="C151">
        <v>108</v>
      </c>
    </row>
    <row r="152" spans="1:3" x14ac:dyDescent="0.2">
      <c r="A152" t="s">
        <v>40</v>
      </c>
      <c r="B152">
        <v>590</v>
      </c>
      <c r="C152">
        <v>118</v>
      </c>
    </row>
    <row r="153" spans="1:3" x14ac:dyDescent="0.2">
      <c r="A153" t="s">
        <v>41</v>
      </c>
      <c r="B153">
        <v>600</v>
      </c>
      <c r="C153">
        <v>108</v>
      </c>
    </row>
    <row r="154" spans="1:3" x14ac:dyDescent="0.2">
      <c r="A154" t="s">
        <v>36</v>
      </c>
      <c r="B154">
        <v>492</v>
      </c>
      <c r="C154">
        <v>216</v>
      </c>
    </row>
    <row r="155" spans="1:3" x14ac:dyDescent="0.2">
      <c r="A155" t="s">
        <v>37</v>
      </c>
      <c r="B155">
        <v>573</v>
      </c>
      <c r="C155">
        <v>135</v>
      </c>
    </row>
    <row r="156" spans="1:3" x14ac:dyDescent="0.2">
      <c r="A156" t="s">
        <v>38</v>
      </c>
      <c r="B156">
        <v>600</v>
      </c>
      <c r="C156">
        <v>108</v>
      </c>
    </row>
    <row r="157" spans="1:3" x14ac:dyDescent="0.2">
      <c r="A157" t="s">
        <v>39</v>
      </c>
      <c r="B157">
        <v>600</v>
      </c>
      <c r="C157">
        <v>112</v>
      </c>
    </row>
    <row r="158" spans="1:3" x14ac:dyDescent="0.2">
      <c r="A158" t="s">
        <v>40</v>
      </c>
      <c r="B158">
        <v>574</v>
      </c>
      <c r="C158">
        <v>134</v>
      </c>
    </row>
    <row r="159" spans="1:3" x14ac:dyDescent="0.2">
      <c r="A159" t="s">
        <v>41</v>
      </c>
      <c r="B159">
        <v>592</v>
      </c>
      <c r="C159">
        <v>116</v>
      </c>
    </row>
    <row r="160" spans="1:3" x14ac:dyDescent="0.2">
      <c r="A160" t="s">
        <v>36</v>
      </c>
      <c r="B160">
        <v>600</v>
      </c>
      <c r="C160">
        <v>108</v>
      </c>
    </row>
    <row r="161" spans="1:3" x14ac:dyDescent="0.2">
      <c r="A161" t="s">
        <v>37</v>
      </c>
      <c r="B161">
        <v>563</v>
      </c>
      <c r="C161">
        <v>145</v>
      </c>
    </row>
    <row r="162" spans="1:3" x14ac:dyDescent="0.2">
      <c r="A162" t="s">
        <v>38</v>
      </c>
      <c r="B162">
        <v>594</v>
      </c>
      <c r="C162">
        <v>114</v>
      </c>
    </row>
    <row r="163" spans="1:3" x14ac:dyDescent="0.2">
      <c r="A163" t="s">
        <v>39</v>
      </c>
      <c r="B163">
        <v>547</v>
      </c>
      <c r="C163">
        <v>161</v>
      </c>
    </row>
    <row r="164" spans="1:3" x14ac:dyDescent="0.2">
      <c r="A164" t="s">
        <v>40</v>
      </c>
      <c r="B164">
        <v>575</v>
      </c>
      <c r="C164">
        <v>133</v>
      </c>
    </row>
    <row r="165" spans="1:3" x14ac:dyDescent="0.2">
      <c r="A165" t="s">
        <v>41</v>
      </c>
      <c r="B165">
        <v>590</v>
      </c>
      <c r="C165">
        <v>122</v>
      </c>
    </row>
    <row r="166" spans="1:3" x14ac:dyDescent="0.2">
      <c r="A166" t="s">
        <v>36</v>
      </c>
      <c r="B166">
        <v>600</v>
      </c>
      <c r="C166">
        <v>108</v>
      </c>
    </row>
    <row r="167" spans="1:3" x14ac:dyDescent="0.2">
      <c r="A167" t="s">
        <v>37</v>
      </c>
      <c r="B167">
        <v>600</v>
      </c>
      <c r="C167">
        <v>108</v>
      </c>
    </row>
    <row r="168" spans="1:3" x14ac:dyDescent="0.2">
      <c r="A168" t="s">
        <v>38</v>
      </c>
      <c r="B168">
        <v>600</v>
      </c>
      <c r="C168">
        <v>108</v>
      </c>
    </row>
    <row r="169" spans="1:3" x14ac:dyDescent="0.2">
      <c r="A169" t="s">
        <v>39</v>
      </c>
      <c r="B169">
        <v>595</v>
      </c>
      <c r="C169">
        <v>113</v>
      </c>
    </row>
    <row r="170" spans="1:3" x14ac:dyDescent="0.2">
      <c r="A170" t="s">
        <v>40</v>
      </c>
      <c r="B170">
        <v>595</v>
      </c>
      <c r="C170">
        <v>117</v>
      </c>
    </row>
    <row r="171" spans="1:3" x14ac:dyDescent="0.2">
      <c r="A171" t="s">
        <v>41</v>
      </c>
      <c r="B171">
        <v>600</v>
      </c>
      <c r="C171">
        <v>108</v>
      </c>
    </row>
    <row r="172" spans="1:3" x14ac:dyDescent="0.2">
      <c r="A172" t="s">
        <v>36</v>
      </c>
      <c r="B172">
        <v>594</v>
      </c>
      <c r="C172">
        <v>114</v>
      </c>
    </row>
    <row r="173" spans="1:3" x14ac:dyDescent="0.2">
      <c r="A173" t="s">
        <v>37</v>
      </c>
      <c r="B173">
        <v>573</v>
      </c>
      <c r="C173">
        <v>135</v>
      </c>
    </row>
    <row r="174" spans="1:3" x14ac:dyDescent="0.2">
      <c r="A174" t="s">
        <v>38</v>
      </c>
      <c r="B174">
        <v>594</v>
      </c>
      <c r="C174">
        <v>114</v>
      </c>
    </row>
    <row r="175" spans="1:3" x14ac:dyDescent="0.2">
      <c r="A175" t="s">
        <v>39</v>
      </c>
      <c r="B175">
        <v>588</v>
      </c>
      <c r="C175">
        <v>120</v>
      </c>
    </row>
    <row r="176" spans="1:3" x14ac:dyDescent="0.2">
      <c r="A176" t="s">
        <v>40</v>
      </c>
      <c r="B176">
        <v>600</v>
      </c>
      <c r="C176">
        <v>108</v>
      </c>
    </row>
    <row r="177" spans="1:3" x14ac:dyDescent="0.2">
      <c r="A177" t="s">
        <v>41</v>
      </c>
      <c r="B177">
        <v>598</v>
      </c>
      <c r="C177">
        <v>114</v>
      </c>
    </row>
    <row r="178" spans="1:3" x14ac:dyDescent="0.2">
      <c r="A178" t="s">
        <v>36</v>
      </c>
      <c r="B178">
        <v>600</v>
      </c>
      <c r="C178">
        <v>108</v>
      </c>
    </row>
    <row r="179" spans="1:3" x14ac:dyDescent="0.2">
      <c r="A179" t="s">
        <v>37</v>
      </c>
      <c r="B179">
        <v>600</v>
      </c>
      <c r="C179">
        <v>108</v>
      </c>
    </row>
    <row r="180" spans="1:3" x14ac:dyDescent="0.2">
      <c r="A180" t="s">
        <v>38</v>
      </c>
      <c r="B180">
        <v>600</v>
      </c>
      <c r="C180">
        <v>108</v>
      </c>
    </row>
    <row r="181" spans="1:3" x14ac:dyDescent="0.2">
      <c r="A181" t="s">
        <v>39</v>
      </c>
      <c r="B181">
        <v>590</v>
      </c>
      <c r="C181">
        <v>118</v>
      </c>
    </row>
    <row r="182" spans="1:3" x14ac:dyDescent="0.2">
      <c r="A182" t="s">
        <v>40</v>
      </c>
      <c r="B182">
        <v>600</v>
      </c>
      <c r="C182">
        <v>108</v>
      </c>
    </row>
    <row r="183" spans="1:3" x14ac:dyDescent="0.2">
      <c r="A183" t="s">
        <v>41</v>
      </c>
      <c r="B183">
        <v>590</v>
      </c>
      <c r="C183">
        <v>122</v>
      </c>
    </row>
    <row r="184" spans="1:3" x14ac:dyDescent="0.2">
      <c r="A184" t="s">
        <v>36</v>
      </c>
      <c r="B184">
        <v>598</v>
      </c>
      <c r="C184">
        <v>110</v>
      </c>
    </row>
    <row r="185" spans="1:3" x14ac:dyDescent="0.2">
      <c r="A185" t="s">
        <v>37</v>
      </c>
      <c r="B185">
        <v>582</v>
      </c>
      <c r="C185">
        <v>126</v>
      </c>
    </row>
    <row r="186" spans="1:3" x14ac:dyDescent="0.2">
      <c r="A186" t="s">
        <v>38</v>
      </c>
      <c r="B186">
        <v>600</v>
      </c>
      <c r="C186">
        <v>112</v>
      </c>
    </row>
    <row r="187" spans="1:3" x14ac:dyDescent="0.2">
      <c r="A187" t="s">
        <v>39</v>
      </c>
      <c r="B187">
        <v>594</v>
      </c>
      <c r="C187">
        <v>114</v>
      </c>
    </row>
    <row r="188" spans="1:3" x14ac:dyDescent="0.2">
      <c r="A188" t="s">
        <v>40</v>
      </c>
      <c r="B188">
        <v>554</v>
      </c>
      <c r="C188">
        <v>154</v>
      </c>
    </row>
    <row r="189" spans="1:3" x14ac:dyDescent="0.2">
      <c r="A189" t="s">
        <v>41</v>
      </c>
      <c r="B189">
        <v>596</v>
      </c>
      <c r="C189">
        <v>112</v>
      </c>
    </row>
    <row r="190" spans="1:3" x14ac:dyDescent="0.2">
      <c r="A190" t="s">
        <v>36</v>
      </c>
      <c r="B190">
        <v>600</v>
      </c>
      <c r="C190">
        <v>108</v>
      </c>
    </row>
    <row r="191" spans="1:3" x14ac:dyDescent="0.2">
      <c r="A191" t="s">
        <v>37</v>
      </c>
      <c r="B191">
        <v>596</v>
      </c>
      <c r="C191">
        <v>112</v>
      </c>
    </row>
    <row r="192" spans="1:3" x14ac:dyDescent="0.2">
      <c r="A192" t="s">
        <v>38</v>
      </c>
      <c r="B192">
        <v>600</v>
      </c>
      <c r="C192">
        <v>112</v>
      </c>
    </row>
    <row r="193" spans="1:3" x14ac:dyDescent="0.2">
      <c r="A193" t="s">
        <v>39</v>
      </c>
      <c r="B193">
        <v>590</v>
      </c>
      <c r="C193">
        <v>118</v>
      </c>
    </row>
    <row r="194" spans="1:3" x14ac:dyDescent="0.2">
      <c r="A194" t="s">
        <v>40</v>
      </c>
      <c r="B194">
        <v>596</v>
      </c>
      <c r="C194">
        <v>112</v>
      </c>
    </row>
    <row r="195" spans="1:3" x14ac:dyDescent="0.2">
      <c r="A195" t="s">
        <v>41</v>
      </c>
      <c r="B195">
        <v>600</v>
      </c>
      <c r="C195">
        <v>108</v>
      </c>
    </row>
    <row r="196" spans="1:3" x14ac:dyDescent="0.2">
      <c r="A196" t="s">
        <v>36</v>
      </c>
      <c r="B196">
        <v>597</v>
      </c>
      <c r="C196">
        <v>111</v>
      </c>
    </row>
    <row r="197" spans="1:3" x14ac:dyDescent="0.2">
      <c r="A197" t="s">
        <v>37</v>
      </c>
      <c r="B197">
        <v>600</v>
      </c>
      <c r="C197">
        <v>108</v>
      </c>
    </row>
    <row r="198" spans="1:3" x14ac:dyDescent="0.2">
      <c r="A198" t="s">
        <v>38</v>
      </c>
      <c r="B198">
        <v>600</v>
      </c>
      <c r="C198">
        <v>108</v>
      </c>
    </row>
    <row r="199" spans="1:3" x14ac:dyDescent="0.2">
      <c r="A199" t="s">
        <v>39</v>
      </c>
      <c r="B199">
        <v>588</v>
      </c>
      <c r="C199">
        <v>124</v>
      </c>
    </row>
    <row r="200" spans="1:3" x14ac:dyDescent="0.2">
      <c r="A200" t="s">
        <v>40</v>
      </c>
      <c r="B200">
        <v>547</v>
      </c>
      <c r="C200">
        <v>161</v>
      </c>
    </row>
    <row r="201" spans="1:3" x14ac:dyDescent="0.2">
      <c r="A201" t="s">
        <v>41</v>
      </c>
      <c r="B201">
        <v>588</v>
      </c>
      <c r="C201">
        <v>120</v>
      </c>
    </row>
    <row r="202" spans="1:3" x14ac:dyDescent="0.2">
      <c r="A202" t="s">
        <v>36</v>
      </c>
      <c r="B202">
        <v>594</v>
      </c>
      <c r="C202">
        <v>114</v>
      </c>
    </row>
    <row r="203" spans="1:3" x14ac:dyDescent="0.2">
      <c r="A203" t="s">
        <v>37</v>
      </c>
      <c r="B203">
        <v>597</v>
      </c>
      <c r="C203">
        <v>111</v>
      </c>
    </row>
    <row r="204" spans="1:3" x14ac:dyDescent="0.2">
      <c r="A204" t="s">
        <v>38</v>
      </c>
      <c r="B204">
        <v>596</v>
      </c>
      <c r="C204">
        <v>112</v>
      </c>
    </row>
    <row r="205" spans="1:3" x14ac:dyDescent="0.2">
      <c r="A205" t="s">
        <v>39</v>
      </c>
      <c r="B205">
        <v>600</v>
      </c>
      <c r="C205">
        <v>108</v>
      </c>
    </row>
    <row r="206" spans="1:3" x14ac:dyDescent="0.2">
      <c r="A206" t="s">
        <v>40</v>
      </c>
      <c r="B206">
        <v>590</v>
      </c>
      <c r="C206">
        <v>118</v>
      </c>
    </row>
    <row r="207" spans="1:3" x14ac:dyDescent="0.2">
      <c r="A207" t="s">
        <v>41</v>
      </c>
      <c r="B207">
        <v>596</v>
      </c>
      <c r="C207">
        <v>116</v>
      </c>
    </row>
    <row r="208" spans="1:3" x14ac:dyDescent="0.2">
      <c r="A208" t="s">
        <v>36</v>
      </c>
      <c r="B208">
        <v>600</v>
      </c>
      <c r="C208">
        <v>108</v>
      </c>
    </row>
    <row r="209" spans="1:3" x14ac:dyDescent="0.2">
      <c r="A209" t="s">
        <v>37</v>
      </c>
      <c r="B209">
        <v>590</v>
      </c>
      <c r="C209">
        <v>118</v>
      </c>
    </row>
    <row r="210" spans="1:3" x14ac:dyDescent="0.2">
      <c r="A210" t="s">
        <v>38</v>
      </c>
      <c r="B210">
        <v>600</v>
      </c>
      <c r="C210">
        <v>108</v>
      </c>
    </row>
    <row r="211" spans="1:3" x14ac:dyDescent="0.2">
      <c r="A211" t="s">
        <v>39</v>
      </c>
      <c r="B211">
        <v>596</v>
      </c>
      <c r="C211">
        <v>112</v>
      </c>
    </row>
    <row r="212" spans="1:3" x14ac:dyDescent="0.2">
      <c r="A212" t="s">
        <v>40</v>
      </c>
      <c r="B212">
        <v>586</v>
      </c>
      <c r="C212">
        <v>122</v>
      </c>
    </row>
    <row r="213" spans="1:3" x14ac:dyDescent="0.2">
      <c r="A213" t="s">
        <v>41</v>
      </c>
      <c r="B213">
        <v>598</v>
      </c>
      <c r="C213">
        <v>114</v>
      </c>
    </row>
    <row r="214" spans="1:3" x14ac:dyDescent="0.2">
      <c r="A214" t="s">
        <v>36</v>
      </c>
      <c r="B214">
        <v>594</v>
      </c>
      <c r="C214">
        <v>114</v>
      </c>
    </row>
    <row r="215" spans="1:3" x14ac:dyDescent="0.2">
      <c r="A215" t="s">
        <v>37</v>
      </c>
      <c r="B215">
        <v>600</v>
      </c>
      <c r="C215">
        <v>108</v>
      </c>
    </row>
    <row r="216" spans="1:3" x14ac:dyDescent="0.2">
      <c r="A216" t="s">
        <v>38</v>
      </c>
      <c r="B216">
        <v>590</v>
      </c>
      <c r="C216">
        <v>118</v>
      </c>
    </row>
    <row r="217" spans="1:3" x14ac:dyDescent="0.2">
      <c r="A217" t="s">
        <v>39</v>
      </c>
      <c r="B217">
        <v>582</v>
      </c>
      <c r="C217">
        <v>126</v>
      </c>
    </row>
    <row r="218" spans="1:3" x14ac:dyDescent="0.2">
      <c r="A218" t="s">
        <v>40</v>
      </c>
      <c r="B218">
        <v>598</v>
      </c>
      <c r="C218">
        <v>110</v>
      </c>
    </row>
    <row r="219" spans="1:3" x14ac:dyDescent="0.2">
      <c r="A219" t="s">
        <v>41</v>
      </c>
      <c r="B219">
        <v>598</v>
      </c>
      <c r="C219">
        <v>114</v>
      </c>
    </row>
    <row r="220" spans="1:3" x14ac:dyDescent="0.2">
      <c r="A220" t="s">
        <v>36</v>
      </c>
      <c r="B220">
        <v>532</v>
      </c>
      <c r="C220">
        <v>176</v>
      </c>
    </row>
    <row r="221" spans="1:3" x14ac:dyDescent="0.2">
      <c r="A221" t="s">
        <v>37</v>
      </c>
      <c r="B221">
        <v>585</v>
      </c>
      <c r="C221">
        <v>123</v>
      </c>
    </row>
    <row r="222" spans="1:3" x14ac:dyDescent="0.2">
      <c r="A222" t="s">
        <v>38</v>
      </c>
      <c r="B222">
        <v>596</v>
      </c>
      <c r="C222">
        <v>112</v>
      </c>
    </row>
    <row r="223" spans="1:3" x14ac:dyDescent="0.2">
      <c r="A223" t="s">
        <v>39</v>
      </c>
      <c r="B223">
        <v>580</v>
      </c>
      <c r="C223">
        <v>128</v>
      </c>
    </row>
    <row r="224" spans="1:3" x14ac:dyDescent="0.2">
      <c r="A224" t="s">
        <v>40</v>
      </c>
      <c r="B224">
        <v>597</v>
      </c>
      <c r="C224">
        <v>111</v>
      </c>
    </row>
    <row r="225" spans="1:3" x14ac:dyDescent="0.2">
      <c r="A225" t="s">
        <v>41</v>
      </c>
      <c r="B225">
        <v>592</v>
      </c>
      <c r="C225">
        <v>120</v>
      </c>
    </row>
    <row r="226" spans="1:3" x14ac:dyDescent="0.2">
      <c r="A226" t="s">
        <v>36</v>
      </c>
      <c r="B226">
        <v>596</v>
      </c>
      <c r="C226">
        <v>116</v>
      </c>
    </row>
    <row r="227" spans="1:3" x14ac:dyDescent="0.2">
      <c r="A227" t="s">
        <v>37</v>
      </c>
      <c r="B227">
        <v>584</v>
      </c>
      <c r="C227">
        <v>124</v>
      </c>
    </row>
    <row r="228" spans="1:3" x14ac:dyDescent="0.2">
      <c r="A228" t="s">
        <v>38</v>
      </c>
      <c r="B228">
        <v>598</v>
      </c>
      <c r="C228">
        <v>110</v>
      </c>
    </row>
    <row r="229" spans="1:3" x14ac:dyDescent="0.2">
      <c r="A229" t="s">
        <v>39</v>
      </c>
      <c r="B229">
        <v>600</v>
      </c>
      <c r="C229">
        <v>108</v>
      </c>
    </row>
    <row r="230" spans="1:3" x14ac:dyDescent="0.2">
      <c r="A230" t="s">
        <v>40</v>
      </c>
      <c r="B230">
        <v>596</v>
      </c>
      <c r="C230">
        <v>112</v>
      </c>
    </row>
    <row r="231" spans="1:3" x14ac:dyDescent="0.2">
      <c r="A231" t="s">
        <v>41</v>
      </c>
      <c r="B231">
        <v>600</v>
      </c>
      <c r="C231">
        <v>108</v>
      </c>
    </row>
    <row r="232" spans="1:3" x14ac:dyDescent="0.2">
      <c r="A232" t="s">
        <v>36</v>
      </c>
      <c r="B232">
        <v>600</v>
      </c>
      <c r="C232">
        <v>108</v>
      </c>
    </row>
    <row r="233" spans="1:3" x14ac:dyDescent="0.2">
      <c r="A233" t="s">
        <v>37</v>
      </c>
      <c r="B233">
        <v>567</v>
      </c>
      <c r="C233">
        <v>145</v>
      </c>
    </row>
    <row r="234" spans="1:3" x14ac:dyDescent="0.2">
      <c r="A234" t="s">
        <v>38</v>
      </c>
      <c r="B234">
        <v>596</v>
      </c>
      <c r="C234">
        <v>112</v>
      </c>
    </row>
    <row r="235" spans="1:3" x14ac:dyDescent="0.2">
      <c r="A235" t="s">
        <v>39</v>
      </c>
      <c r="B235">
        <v>598</v>
      </c>
      <c r="C235">
        <v>110</v>
      </c>
    </row>
    <row r="236" spans="1:3" x14ac:dyDescent="0.2">
      <c r="A236" t="s">
        <v>40</v>
      </c>
      <c r="B236">
        <v>565</v>
      </c>
      <c r="C236">
        <v>143</v>
      </c>
    </row>
    <row r="237" spans="1:3" x14ac:dyDescent="0.2">
      <c r="A237" t="s">
        <v>41</v>
      </c>
      <c r="B237">
        <v>594</v>
      </c>
      <c r="C237">
        <v>114</v>
      </c>
    </row>
    <row r="238" spans="1:3" x14ac:dyDescent="0.2">
      <c r="A238" t="s">
        <v>36</v>
      </c>
      <c r="B238">
        <v>596</v>
      </c>
      <c r="C238">
        <v>112</v>
      </c>
    </row>
    <row r="239" spans="1:3" x14ac:dyDescent="0.2">
      <c r="A239" t="s">
        <v>37</v>
      </c>
      <c r="B239">
        <v>583</v>
      </c>
      <c r="C239">
        <v>125</v>
      </c>
    </row>
    <row r="240" spans="1:3" x14ac:dyDescent="0.2">
      <c r="A240" t="s">
        <v>38</v>
      </c>
      <c r="B240">
        <v>598</v>
      </c>
      <c r="C240">
        <v>110</v>
      </c>
    </row>
    <row r="241" spans="1:3" x14ac:dyDescent="0.2">
      <c r="A241" t="s">
        <v>39</v>
      </c>
      <c r="B241">
        <v>576</v>
      </c>
      <c r="C241">
        <v>132</v>
      </c>
    </row>
    <row r="242" spans="1:3" x14ac:dyDescent="0.2">
      <c r="A242" t="s">
        <v>40</v>
      </c>
      <c r="B242">
        <v>590</v>
      </c>
      <c r="C242">
        <v>122</v>
      </c>
    </row>
    <row r="243" spans="1:3" x14ac:dyDescent="0.2">
      <c r="A243" t="s">
        <v>41</v>
      </c>
      <c r="B243">
        <v>590</v>
      </c>
      <c r="C243">
        <v>118</v>
      </c>
    </row>
    <row r="244" spans="1:3" x14ac:dyDescent="0.2">
      <c r="A244" t="s">
        <v>36</v>
      </c>
      <c r="B244">
        <v>594</v>
      </c>
      <c r="C244">
        <v>114</v>
      </c>
    </row>
    <row r="245" spans="1:3" x14ac:dyDescent="0.2">
      <c r="A245" t="s">
        <v>37</v>
      </c>
      <c r="B245">
        <v>578</v>
      </c>
      <c r="C245">
        <v>130</v>
      </c>
    </row>
    <row r="246" spans="1:3" x14ac:dyDescent="0.2">
      <c r="A246" t="s">
        <v>38</v>
      </c>
      <c r="B246">
        <v>596</v>
      </c>
      <c r="C246">
        <v>112</v>
      </c>
    </row>
    <row r="247" spans="1:3" x14ac:dyDescent="0.2">
      <c r="A247" t="s">
        <v>39</v>
      </c>
      <c r="B247">
        <v>600</v>
      </c>
      <c r="C247">
        <v>108</v>
      </c>
    </row>
    <row r="248" spans="1:3" x14ac:dyDescent="0.2">
      <c r="A248" t="s">
        <v>40</v>
      </c>
      <c r="B248">
        <v>596</v>
      </c>
      <c r="C248">
        <v>112</v>
      </c>
    </row>
    <row r="249" spans="1:3" x14ac:dyDescent="0.2">
      <c r="A249" t="s">
        <v>41</v>
      </c>
      <c r="B249">
        <v>596</v>
      </c>
      <c r="C249">
        <v>116</v>
      </c>
    </row>
    <row r="250" spans="1:3" x14ac:dyDescent="0.2">
      <c r="A250" t="s">
        <v>36</v>
      </c>
      <c r="B250">
        <v>592</v>
      </c>
      <c r="C250">
        <v>120</v>
      </c>
    </row>
    <row r="251" spans="1:3" x14ac:dyDescent="0.2">
      <c r="A251" t="s">
        <v>37</v>
      </c>
      <c r="B251">
        <v>600</v>
      </c>
      <c r="C251">
        <v>108</v>
      </c>
    </row>
    <row r="252" spans="1:3" x14ac:dyDescent="0.2">
      <c r="A252" t="s">
        <v>38</v>
      </c>
      <c r="B252">
        <v>588</v>
      </c>
      <c r="C252">
        <v>120</v>
      </c>
    </row>
    <row r="253" spans="1:3" x14ac:dyDescent="0.2">
      <c r="A253" t="s">
        <v>39</v>
      </c>
      <c r="B253">
        <v>596</v>
      </c>
      <c r="C253">
        <v>112</v>
      </c>
    </row>
    <row r="254" spans="1:3" x14ac:dyDescent="0.2">
      <c r="A254" t="s">
        <v>40</v>
      </c>
      <c r="B254">
        <v>567</v>
      </c>
      <c r="C254">
        <v>141</v>
      </c>
    </row>
    <row r="255" spans="1:3" x14ac:dyDescent="0.2">
      <c r="A255" t="s">
        <v>41</v>
      </c>
      <c r="B255">
        <v>598</v>
      </c>
      <c r="C255">
        <v>110</v>
      </c>
    </row>
    <row r="256" spans="1:3" x14ac:dyDescent="0.2">
      <c r="A256" t="s">
        <v>36</v>
      </c>
      <c r="B256">
        <v>598</v>
      </c>
      <c r="C256">
        <v>110</v>
      </c>
    </row>
    <row r="257" spans="1:3" x14ac:dyDescent="0.2">
      <c r="A257" t="s">
        <v>37</v>
      </c>
      <c r="B257">
        <v>590</v>
      </c>
      <c r="C257">
        <v>118</v>
      </c>
    </row>
    <row r="258" spans="1:3" x14ac:dyDescent="0.2">
      <c r="A258" t="s">
        <v>38</v>
      </c>
      <c r="B258">
        <v>598</v>
      </c>
      <c r="C258">
        <v>110</v>
      </c>
    </row>
    <row r="259" spans="1:3" x14ac:dyDescent="0.2">
      <c r="A259" t="s">
        <v>39</v>
      </c>
      <c r="B259">
        <v>600</v>
      </c>
      <c r="C259">
        <v>112</v>
      </c>
    </row>
    <row r="260" spans="1:3" x14ac:dyDescent="0.2">
      <c r="A260" t="s">
        <v>40</v>
      </c>
      <c r="B260">
        <v>569</v>
      </c>
      <c r="C260">
        <v>139</v>
      </c>
    </row>
    <row r="261" spans="1:3" x14ac:dyDescent="0.2">
      <c r="A261" t="s">
        <v>41</v>
      </c>
      <c r="B261">
        <v>600</v>
      </c>
      <c r="C261">
        <v>108</v>
      </c>
    </row>
    <row r="262" spans="1:3" x14ac:dyDescent="0.2">
      <c r="A262" t="s">
        <v>36</v>
      </c>
      <c r="B262">
        <v>595</v>
      </c>
      <c r="C262">
        <v>113</v>
      </c>
    </row>
    <row r="263" spans="1:3" x14ac:dyDescent="0.2">
      <c r="A263" t="s">
        <v>37</v>
      </c>
      <c r="B263">
        <v>568</v>
      </c>
      <c r="C263">
        <v>144</v>
      </c>
    </row>
    <row r="264" spans="1:3" x14ac:dyDescent="0.2">
      <c r="A264" t="s">
        <v>38</v>
      </c>
      <c r="B264">
        <v>598</v>
      </c>
      <c r="C264">
        <v>110</v>
      </c>
    </row>
    <row r="265" spans="1:3" x14ac:dyDescent="0.2">
      <c r="A265" t="s">
        <v>39</v>
      </c>
      <c r="B265">
        <v>595</v>
      </c>
      <c r="C265">
        <v>113</v>
      </c>
    </row>
    <row r="266" spans="1:3" x14ac:dyDescent="0.2">
      <c r="A266" t="s">
        <v>40</v>
      </c>
      <c r="B266">
        <v>594</v>
      </c>
      <c r="C266">
        <v>114</v>
      </c>
    </row>
    <row r="267" spans="1:3" x14ac:dyDescent="0.2">
      <c r="A267" t="s">
        <v>41</v>
      </c>
      <c r="B267">
        <v>594</v>
      </c>
      <c r="C267">
        <v>114</v>
      </c>
    </row>
    <row r="268" spans="1:3" x14ac:dyDescent="0.2">
      <c r="A268" t="s">
        <v>36</v>
      </c>
      <c r="B268">
        <v>600</v>
      </c>
      <c r="C268">
        <v>108</v>
      </c>
    </row>
    <row r="269" spans="1:3" x14ac:dyDescent="0.2">
      <c r="A269" t="s">
        <v>37</v>
      </c>
      <c r="B269">
        <v>600</v>
      </c>
      <c r="C269">
        <v>108</v>
      </c>
    </row>
    <row r="270" spans="1:3" x14ac:dyDescent="0.2">
      <c r="A270" t="s">
        <v>38</v>
      </c>
      <c r="B270">
        <v>600</v>
      </c>
      <c r="C270">
        <v>108</v>
      </c>
    </row>
    <row r="271" spans="1:3" x14ac:dyDescent="0.2">
      <c r="A271" t="s">
        <v>39</v>
      </c>
      <c r="B271">
        <v>600</v>
      </c>
      <c r="C271">
        <v>108</v>
      </c>
    </row>
    <row r="272" spans="1:3" x14ac:dyDescent="0.2">
      <c r="A272" t="s">
        <v>40</v>
      </c>
      <c r="B272">
        <v>590</v>
      </c>
      <c r="C272">
        <v>118</v>
      </c>
    </row>
    <row r="273" spans="1:3" x14ac:dyDescent="0.2">
      <c r="A273" t="s">
        <v>41</v>
      </c>
      <c r="B273">
        <v>590</v>
      </c>
      <c r="C273">
        <v>122</v>
      </c>
    </row>
    <row r="274" spans="1:3" x14ac:dyDescent="0.2">
      <c r="A274" t="s">
        <v>36</v>
      </c>
      <c r="B274">
        <v>600</v>
      </c>
      <c r="C274">
        <v>112</v>
      </c>
    </row>
    <row r="275" spans="1:3" x14ac:dyDescent="0.2">
      <c r="A275" t="s">
        <v>37</v>
      </c>
      <c r="B275">
        <v>600</v>
      </c>
      <c r="C275">
        <v>108</v>
      </c>
    </row>
    <row r="276" spans="1:3" x14ac:dyDescent="0.2">
      <c r="A276" t="s">
        <v>38</v>
      </c>
      <c r="B276">
        <v>594</v>
      </c>
      <c r="C276">
        <v>114</v>
      </c>
    </row>
    <row r="277" spans="1:3" x14ac:dyDescent="0.2">
      <c r="A277" t="s">
        <v>39</v>
      </c>
      <c r="B277">
        <v>573</v>
      </c>
      <c r="C277">
        <v>135</v>
      </c>
    </row>
    <row r="278" spans="1:3" x14ac:dyDescent="0.2">
      <c r="A278" t="s">
        <v>40</v>
      </c>
      <c r="B278">
        <v>580</v>
      </c>
      <c r="C278">
        <v>128</v>
      </c>
    </row>
    <row r="279" spans="1:3" x14ac:dyDescent="0.2">
      <c r="A279" t="s">
        <v>41</v>
      </c>
      <c r="B279">
        <v>596</v>
      </c>
      <c r="C279">
        <v>112</v>
      </c>
    </row>
    <row r="280" spans="1:3" x14ac:dyDescent="0.2">
      <c r="A280" t="s">
        <v>36</v>
      </c>
      <c r="B280">
        <v>595</v>
      </c>
      <c r="C280">
        <v>113</v>
      </c>
    </row>
    <row r="281" spans="1:3" x14ac:dyDescent="0.2">
      <c r="A281" t="s">
        <v>37</v>
      </c>
      <c r="B281">
        <v>557</v>
      </c>
      <c r="C281">
        <v>151</v>
      </c>
    </row>
    <row r="282" spans="1:3" x14ac:dyDescent="0.2">
      <c r="A282" t="s">
        <v>38</v>
      </c>
      <c r="B282">
        <v>594</v>
      </c>
      <c r="C282">
        <v>118</v>
      </c>
    </row>
    <row r="283" spans="1:3" x14ac:dyDescent="0.2">
      <c r="A283" t="s">
        <v>39</v>
      </c>
      <c r="B283">
        <v>592</v>
      </c>
      <c r="C283">
        <v>116</v>
      </c>
    </row>
    <row r="284" spans="1:3" x14ac:dyDescent="0.2">
      <c r="A284" t="s">
        <v>40</v>
      </c>
      <c r="B284">
        <v>586</v>
      </c>
      <c r="C284">
        <v>122</v>
      </c>
    </row>
    <row r="285" spans="1:3" x14ac:dyDescent="0.2">
      <c r="A285" t="s">
        <v>41</v>
      </c>
      <c r="B285">
        <v>600</v>
      </c>
      <c r="C285">
        <v>108</v>
      </c>
    </row>
    <row r="286" spans="1:3" x14ac:dyDescent="0.2">
      <c r="A286" t="s">
        <v>36</v>
      </c>
      <c r="B286">
        <v>593</v>
      </c>
      <c r="C286">
        <v>115</v>
      </c>
    </row>
    <row r="287" spans="1:3" x14ac:dyDescent="0.2">
      <c r="A287" t="s">
        <v>37</v>
      </c>
      <c r="B287">
        <v>600</v>
      </c>
      <c r="C287">
        <v>108</v>
      </c>
    </row>
    <row r="288" spans="1:3" x14ac:dyDescent="0.2">
      <c r="A288" t="s">
        <v>38</v>
      </c>
      <c r="B288">
        <v>590</v>
      </c>
      <c r="C288">
        <v>122</v>
      </c>
    </row>
    <row r="289" spans="1:3" x14ac:dyDescent="0.2">
      <c r="A289" t="s">
        <v>39</v>
      </c>
      <c r="B289">
        <v>596</v>
      </c>
      <c r="C289">
        <v>112</v>
      </c>
    </row>
    <row r="290" spans="1:3" x14ac:dyDescent="0.2">
      <c r="A290" t="s">
        <v>40</v>
      </c>
      <c r="B290">
        <v>594</v>
      </c>
      <c r="C290">
        <v>114</v>
      </c>
    </row>
    <row r="291" spans="1:3" x14ac:dyDescent="0.2">
      <c r="A291" t="s">
        <v>41</v>
      </c>
      <c r="B291">
        <v>588</v>
      </c>
      <c r="C291">
        <v>120</v>
      </c>
    </row>
    <row r="292" spans="1:3" x14ac:dyDescent="0.2">
      <c r="A292" t="s">
        <v>36</v>
      </c>
      <c r="B292">
        <v>496</v>
      </c>
      <c r="C292">
        <v>212</v>
      </c>
    </row>
    <row r="293" spans="1:3" x14ac:dyDescent="0.2">
      <c r="A293" t="s">
        <v>37</v>
      </c>
      <c r="B293">
        <v>598</v>
      </c>
      <c r="C293">
        <v>110</v>
      </c>
    </row>
    <row r="294" spans="1:3" x14ac:dyDescent="0.2">
      <c r="A294" t="s">
        <v>38</v>
      </c>
      <c r="B294">
        <v>594</v>
      </c>
      <c r="C294">
        <v>114</v>
      </c>
    </row>
    <row r="295" spans="1:3" x14ac:dyDescent="0.2">
      <c r="A295" t="s">
        <v>39</v>
      </c>
      <c r="B295">
        <v>594</v>
      </c>
      <c r="C295">
        <v>114</v>
      </c>
    </row>
    <row r="296" spans="1:3" x14ac:dyDescent="0.2">
      <c r="A296" t="s">
        <v>40</v>
      </c>
      <c r="B296">
        <v>582</v>
      </c>
      <c r="C296">
        <v>126</v>
      </c>
    </row>
    <row r="297" spans="1:3" x14ac:dyDescent="0.2">
      <c r="A297" t="s">
        <v>41</v>
      </c>
      <c r="B297">
        <v>596</v>
      </c>
      <c r="C297">
        <v>116</v>
      </c>
    </row>
    <row r="298" spans="1:3" x14ac:dyDescent="0.2">
      <c r="A298" t="s">
        <v>36</v>
      </c>
      <c r="B298">
        <v>600</v>
      </c>
      <c r="C298">
        <v>108</v>
      </c>
    </row>
    <row r="299" spans="1:3" x14ac:dyDescent="0.2">
      <c r="A299" t="s">
        <v>37</v>
      </c>
      <c r="B299">
        <v>553</v>
      </c>
      <c r="C299">
        <v>155</v>
      </c>
    </row>
    <row r="300" spans="1:3" x14ac:dyDescent="0.2">
      <c r="A300" t="s">
        <v>38</v>
      </c>
      <c r="B300">
        <v>598</v>
      </c>
      <c r="C300">
        <v>110</v>
      </c>
    </row>
    <row r="301" spans="1:3" x14ac:dyDescent="0.2">
      <c r="A301" t="s">
        <v>39</v>
      </c>
      <c r="B301">
        <v>591</v>
      </c>
      <c r="C301">
        <v>117</v>
      </c>
    </row>
    <row r="302" spans="1:3" x14ac:dyDescent="0.2">
      <c r="A302" t="s">
        <v>40</v>
      </c>
      <c r="B302">
        <v>592</v>
      </c>
      <c r="C302">
        <v>116</v>
      </c>
    </row>
    <row r="303" spans="1:3" x14ac:dyDescent="0.2">
      <c r="A303" t="s">
        <v>41</v>
      </c>
      <c r="B303">
        <v>594</v>
      </c>
      <c r="C303">
        <v>118</v>
      </c>
    </row>
    <row r="304" spans="1:3" x14ac:dyDescent="0.2">
      <c r="A304" t="s">
        <v>36</v>
      </c>
      <c r="B304">
        <v>540</v>
      </c>
      <c r="C304">
        <v>168</v>
      </c>
    </row>
    <row r="305" spans="1:3" x14ac:dyDescent="0.2">
      <c r="A305" t="s">
        <v>37</v>
      </c>
      <c r="B305">
        <v>598</v>
      </c>
      <c r="C305">
        <v>110</v>
      </c>
    </row>
    <row r="306" spans="1:3" x14ac:dyDescent="0.2">
      <c r="A306" t="s">
        <v>38</v>
      </c>
      <c r="B306">
        <v>598</v>
      </c>
      <c r="C306">
        <v>110</v>
      </c>
    </row>
    <row r="307" spans="1:3" x14ac:dyDescent="0.2">
      <c r="A307" t="s">
        <v>39</v>
      </c>
      <c r="B307">
        <v>591</v>
      </c>
      <c r="C307">
        <v>117</v>
      </c>
    </row>
    <row r="308" spans="1:3" x14ac:dyDescent="0.2">
      <c r="A308" t="s">
        <v>40</v>
      </c>
      <c r="B308">
        <v>596</v>
      </c>
      <c r="C308">
        <v>116</v>
      </c>
    </row>
    <row r="309" spans="1:3" x14ac:dyDescent="0.2">
      <c r="A309" t="s">
        <v>41</v>
      </c>
      <c r="B309">
        <v>580</v>
      </c>
      <c r="C309">
        <v>128</v>
      </c>
    </row>
    <row r="310" spans="1:3" x14ac:dyDescent="0.2">
      <c r="A310" t="s">
        <v>36</v>
      </c>
      <c r="B310">
        <v>600</v>
      </c>
      <c r="C310">
        <v>108</v>
      </c>
    </row>
    <row r="311" spans="1:3" x14ac:dyDescent="0.2">
      <c r="A311" t="s">
        <v>37</v>
      </c>
      <c r="B311">
        <v>593</v>
      </c>
      <c r="C311">
        <v>119</v>
      </c>
    </row>
    <row r="312" spans="1:3" x14ac:dyDescent="0.2">
      <c r="A312" t="s">
        <v>38</v>
      </c>
      <c r="B312">
        <v>596</v>
      </c>
      <c r="C312">
        <v>112</v>
      </c>
    </row>
    <row r="313" spans="1:3" x14ac:dyDescent="0.2">
      <c r="A313" t="s">
        <v>39</v>
      </c>
      <c r="B313">
        <v>573</v>
      </c>
      <c r="C313">
        <v>135</v>
      </c>
    </row>
    <row r="314" spans="1:3" x14ac:dyDescent="0.2">
      <c r="A314" t="s">
        <v>40</v>
      </c>
      <c r="B314">
        <v>598</v>
      </c>
      <c r="C314">
        <v>110</v>
      </c>
    </row>
    <row r="315" spans="1:3" x14ac:dyDescent="0.2">
      <c r="A315" t="s">
        <v>41</v>
      </c>
      <c r="B315">
        <v>594</v>
      </c>
      <c r="C315">
        <v>114</v>
      </c>
    </row>
    <row r="316" spans="1:3" x14ac:dyDescent="0.2">
      <c r="A316" t="s">
        <v>36</v>
      </c>
      <c r="B316">
        <v>588</v>
      </c>
      <c r="C316">
        <v>120</v>
      </c>
    </row>
    <row r="317" spans="1:3" x14ac:dyDescent="0.2">
      <c r="A317" t="s">
        <v>37</v>
      </c>
      <c r="B317">
        <v>600</v>
      </c>
      <c r="C317">
        <v>108</v>
      </c>
    </row>
    <row r="318" spans="1:3" x14ac:dyDescent="0.2">
      <c r="A318" t="s">
        <v>38</v>
      </c>
      <c r="B318">
        <v>598</v>
      </c>
      <c r="C318">
        <v>110</v>
      </c>
    </row>
    <row r="319" spans="1:3" x14ac:dyDescent="0.2">
      <c r="A319" t="s">
        <v>39</v>
      </c>
      <c r="B319">
        <v>590</v>
      </c>
      <c r="C319">
        <v>118</v>
      </c>
    </row>
    <row r="320" spans="1:3" x14ac:dyDescent="0.2">
      <c r="A320" t="s">
        <v>40</v>
      </c>
      <c r="B320">
        <v>581</v>
      </c>
      <c r="C320">
        <v>127</v>
      </c>
    </row>
    <row r="321" spans="1:3" x14ac:dyDescent="0.2">
      <c r="A321" t="s">
        <v>41</v>
      </c>
      <c r="B321">
        <v>592</v>
      </c>
      <c r="C321">
        <v>120</v>
      </c>
    </row>
    <row r="322" spans="1:3" x14ac:dyDescent="0.2">
      <c r="A322" t="s">
        <v>36</v>
      </c>
      <c r="B322">
        <v>600</v>
      </c>
      <c r="C322">
        <v>112</v>
      </c>
    </row>
    <row r="323" spans="1:3" x14ac:dyDescent="0.2">
      <c r="A323" t="s">
        <v>37</v>
      </c>
      <c r="B323">
        <v>576</v>
      </c>
      <c r="C323">
        <v>132</v>
      </c>
    </row>
    <row r="324" spans="1:3" x14ac:dyDescent="0.2">
      <c r="A324" t="s">
        <v>38</v>
      </c>
      <c r="B324">
        <v>600</v>
      </c>
      <c r="C324">
        <v>108</v>
      </c>
    </row>
    <row r="325" spans="1:3" x14ac:dyDescent="0.2">
      <c r="A325" t="s">
        <v>39</v>
      </c>
      <c r="B325">
        <v>598</v>
      </c>
      <c r="C325">
        <v>110</v>
      </c>
    </row>
    <row r="326" spans="1:3" x14ac:dyDescent="0.2">
      <c r="A326" t="s">
        <v>40</v>
      </c>
      <c r="B326">
        <v>582</v>
      </c>
      <c r="C326">
        <v>126</v>
      </c>
    </row>
    <row r="327" spans="1:3" x14ac:dyDescent="0.2">
      <c r="A327" t="s">
        <v>41</v>
      </c>
      <c r="B327">
        <v>600</v>
      </c>
      <c r="C327">
        <v>108</v>
      </c>
    </row>
    <row r="328" spans="1:3" x14ac:dyDescent="0.2">
      <c r="A328" t="s">
        <v>36</v>
      </c>
      <c r="B328">
        <v>581</v>
      </c>
      <c r="C328">
        <v>127</v>
      </c>
    </row>
    <row r="329" spans="1:3" x14ac:dyDescent="0.2">
      <c r="A329" t="s">
        <v>37</v>
      </c>
      <c r="B329">
        <v>594</v>
      </c>
      <c r="C329">
        <v>118</v>
      </c>
    </row>
    <row r="330" spans="1:3" x14ac:dyDescent="0.2">
      <c r="A330" t="s">
        <v>38</v>
      </c>
      <c r="B330">
        <v>598</v>
      </c>
      <c r="C330">
        <v>110</v>
      </c>
    </row>
    <row r="331" spans="1:3" x14ac:dyDescent="0.2">
      <c r="A331" t="s">
        <v>39</v>
      </c>
      <c r="B331">
        <v>591</v>
      </c>
      <c r="C331">
        <v>117</v>
      </c>
    </row>
    <row r="332" spans="1:3" x14ac:dyDescent="0.2">
      <c r="A332" t="s">
        <v>40</v>
      </c>
      <c r="B332">
        <v>594</v>
      </c>
      <c r="C332">
        <v>114</v>
      </c>
    </row>
    <row r="333" spans="1:3" x14ac:dyDescent="0.2">
      <c r="A333" t="s">
        <v>41</v>
      </c>
      <c r="B333">
        <v>600</v>
      </c>
      <c r="C333">
        <v>108</v>
      </c>
    </row>
    <row r="334" spans="1:3" x14ac:dyDescent="0.2">
      <c r="A334" t="s">
        <v>36</v>
      </c>
      <c r="B334">
        <v>595</v>
      </c>
      <c r="C334">
        <v>113</v>
      </c>
    </row>
    <row r="335" spans="1:3" x14ac:dyDescent="0.2">
      <c r="A335" t="s">
        <v>37</v>
      </c>
      <c r="B335">
        <v>600</v>
      </c>
      <c r="C335">
        <v>112</v>
      </c>
    </row>
    <row r="336" spans="1:3" x14ac:dyDescent="0.2">
      <c r="A336" t="s">
        <v>38</v>
      </c>
      <c r="B336">
        <v>594</v>
      </c>
      <c r="C336">
        <v>114</v>
      </c>
    </row>
    <row r="337" spans="1:3" x14ac:dyDescent="0.2">
      <c r="A337" t="s">
        <v>39</v>
      </c>
      <c r="B337">
        <v>600</v>
      </c>
      <c r="C337">
        <v>108</v>
      </c>
    </row>
    <row r="338" spans="1:3" x14ac:dyDescent="0.2">
      <c r="A338" t="s">
        <v>40</v>
      </c>
      <c r="B338">
        <v>598</v>
      </c>
      <c r="C338">
        <v>110</v>
      </c>
    </row>
    <row r="339" spans="1:3" x14ac:dyDescent="0.2">
      <c r="A339" t="s">
        <v>41</v>
      </c>
      <c r="B339">
        <v>600</v>
      </c>
      <c r="C339">
        <v>108</v>
      </c>
    </row>
    <row r="340" spans="1:3" x14ac:dyDescent="0.2">
      <c r="A340" t="s">
        <v>36</v>
      </c>
      <c r="B340">
        <v>539</v>
      </c>
      <c r="C340">
        <v>169</v>
      </c>
    </row>
    <row r="341" spans="1:3" x14ac:dyDescent="0.2">
      <c r="A341" t="s">
        <v>37</v>
      </c>
      <c r="B341">
        <v>598</v>
      </c>
      <c r="C341">
        <v>114</v>
      </c>
    </row>
    <row r="342" spans="1:3" x14ac:dyDescent="0.2">
      <c r="A342" t="s">
        <v>38</v>
      </c>
      <c r="B342">
        <v>600</v>
      </c>
      <c r="C342">
        <v>108</v>
      </c>
    </row>
    <row r="343" spans="1:3" x14ac:dyDescent="0.2">
      <c r="A343" t="s">
        <v>39</v>
      </c>
      <c r="B343">
        <v>580</v>
      </c>
      <c r="C343">
        <v>128</v>
      </c>
    </row>
    <row r="344" spans="1:3" x14ac:dyDescent="0.2">
      <c r="A344" t="s">
        <v>40</v>
      </c>
      <c r="B344">
        <v>590</v>
      </c>
      <c r="C344">
        <v>118</v>
      </c>
    </row>
    <row r="345" spans="1:3" x14ac:dyDescent="0.2">
      <c r="A345" t="s">
        <v>41</v>
      </c>
      <c r="B345">
        <v>596</v>
      </c>
      <c r="C345">
        <v>112</v>
      </c>
    </row>
    <row r="346" spans="1:3" x14ac:dyDescent="0.2">
      <c r="A346" t="s">
        <v>36</v>
      </c>
      <c r="B346">
        <v>571</v>
      </c>
      <c r="C346">
        <v>137</v>
      </c>
    </row>
    <row r="347" spans="1:3" x14ac:dyDescent="0.2">
      <c r="A347" t="s">
        <v>37</v>
      </c>
      <c r="B347">
        <v>586</v>
      </c>
      <c r="C347">
        <v>122</v>
      </c>
    </row>
    <row r="348" spans="1:3" x14ac:dyDescent="0.2">
      <c r="A348" t="s">
        <v>38</v>
      </c>
      <c r="B348">
        <v>592</v>
      </c>
      <c r="C348">
        <v>116</v>
      </c>
    </row>
    <row r="349" spans="1:3" x14ac:dyDescent="0.2">
      <c r="A349" t="s">
        <v>39</v>
      </c>
      <c r="B349">
        <v>600</v>
      </c>
      <c r="C349">
        <v>108</v>
      </c>
    </row>
    <row r="350" spans="1:3" x14ac:dyDescent="0.2">
      <c r="A350" t="s">
        <v>40</v>
      </c>
      <c r="B350">
        <v>590</v>
      </c>
      <c r="C350">
        <v>118</v>
      </c>
    </row>
    <row r="351" spans="1:3" x14ac:dyDescent="0.2">
      <c r="A351" t="s">
        <v>41</v>
      </c>
      <c r="B351">
        <v>584</v>
      </c>
      <c r="C351">
        <v>128</v>
      </c>
    </row>
    <row r="352" spans="1:3" x14ac:dyDescent="0.2">
      <c r="A352" t="s">
        <v>36</v>
      </c>
      <c r="B352">
        <v>598</v>
      </c>
      <c r="C352">
        <v>110</v>
      </c>
    </row>
    <row r="353" spans="1:3" x14ac:dyDescent="0.2">
      <c r="A353" t="s">
        <v>37</v>
      </c>
      <c r="B353">
        <v>588</v>
      </c>
      <c r="C353">
        <v>120</v>
      </c>
    </row>
    <row r="354" spans="1:3" x14ac:dyDescent="0.2">
      <c r="A354" t="s">
        <v>38</v>
      </c>
      <c r="B354">
        <v>592</v>
      </c>
      <c r="C354">
        <v>116</v>
      </c>
    </row>
    <row r="355" spans="1:3" x14ac:dyDescent="0.2">
      <c r="A355" t="s">
        <v>39</v>
      </c>
      <c r="B355">
        <v>570</v>
      </c>
      <c r="C355">
        <v>138</v>
      </c>
    </row>
    <row r="356" spans="1:3" x14ac:dyDescent="0.2">
      <c r="A356" t="s">
        <v>40</v>
      </c>
      <c r="B356">
        <v>596</v>
      </c>
      <c r="C356">
        <v>116</v>
      </c>
    </row>
    <row r="357" spans="1:3" x14ac:dyDescent="0.2">
      <c r="A357" t="s">
        <v>41</v>
      </c>
      <c r="B357">
        <v>600</v>
      </c>
      <c r="C357">
        <v>108</v>
      </c>
    </row>
    <row r="358" spans="1:3" x14ac:dyDescent="0.2">
      <c r="A358" t="s">
        <v>36</v>
      </c>
      <c r="B358">
        <v>600</v>
      </c>
      <c r="C358">
        <v>108</v>
      </c>
    </row>
    <row r="359" spans="1:3" x14ac:dyDescent="0.2">
      <c r="A359" t="s">
        <v>37</v>
      </c>
      <c r="B359">
        <v>574</v>
      </c>
      <c r="C359">
        <v>134</v>
      </c>
    </row>
    <row r="360" spans="1:3" x14ac:dyDescent="0.2">
      <c r="A360" t="s">
        <v>38</v>
      </c>
      <c r="B360">
        <v>598</v>
      </c>
      <c r="C360">
        <v>110</v>
      </c>
    </row>
    <row r="361" spans="1:3" x14ac:dyDescent="0.2">
      <c r="A361" t="s">
        <v>39</v>
      </c>
      <c r="B361">
        <v>591</v>
      </c>
      <c r="C361">
        <v>117</v>
      </c>
    </row>
    <row r="362" spans="1:3" x14ac:dyDescent="0.2">
      <c r="A362" t="s">
        <v>40</v>
      </c>
      <c r="B362">
        <v>598</v>
      </c>
      <c r="C362">
        <v>114</v>
      </c>
    </row>
    <row r="363" spans="1:3" x14ac:dyDescent="0.2">
      <c r="A363" t="s">
        <v>41</v>
      </c>
      <c r="B363">
        <v>596</v>
      </c>
      <c r="C363">
        <v>112</v>
      </c>
    </row>
    <row r="364" spans="1:3" x14ac:dyDescent="0.2">
      <c r="A364" t="s">
        <v>36</v>
      </c>
      <c r="B364">
        <v>600</v>
      </c>
      <c r="C364">
        <v>108</v>
      </c>
    </row>
    <row r="365" spans="1:3" x14ac:dyDescent="0.2">
      <c r="A365" t="s">
        <v>37</v>
      </c>
      <c r="B365">
        <v>600</v>
      </c>
      <c r="C365">
        <v>108</v>
      </c>
    </row>
    <row r="366" spans="1:3" x14ac:dyDescent="0.2">
      <c r="A366" t="s">
        <v>38</v>
      </c>
      <c r="B366">
        <v>596</v>
      </c>
      <c r="C366">
        <v>116</v>
      </c>
    </row>
    <row r="367" spans="1:3" x14ac:dyDescent="0.2">
      <c r="A367" t="s">
        <v>39</v>
      </c>
      <c r="B367">
        <v>594</v>
      </c>
      <c r="C367">
        <v>114</v>
      </c>
    </row>
    <row r="368" spans="1:3" x14ac:dyDescent="0.2">
      <c r="A368" t="s">
        <v>40</v>
      </c>
      <c r="B368">
        <v>598</v>
      </c>
      <c r="C368">
        <v>110</v>
      </c>
    </row>
    <row r="369" spans="1:3" x14ac:dyDescent="0.2">
      <c r="A369" t="s">
        <v>41</v>
      </c>
      <c r="B369">
        <v>600</v>
      </c>
      <c r="C369">
        <v>108</v>
      </c>
    </row>
    <row r="370" spans="1:3" x14ac:dyDescent="0.2">
      <c r="A370" t="s">
        <v>36</v>
      </c>
      <c r="B370">
        <v>598</v>
      </c>
      <c r="C370">
        <v>110</v>
      </c>
    </row>
    <row r="371" spans="1:3" x14ac:dyDescent="0.2">
      <c r="A371" t="s">
        <v>37</v>
      </c>
      <c r="B371">
        <v>573</v>
      </c>
      <c r="C371">
        <v>135</v>
      </c>
    </row>
    <row r="372" spans="1:3" x14ac:dyDescent="0.2">
      <c r="A372" t="s">
        <v>38</v>
      </c>
      <c r="B372">
        <v>592</v>
      </c>
      <c r="C372">
        <v>120</v>
      </c>
    </row>
    <row r="373" spans="1:3" x14ac:dyDescent="0.2">
      <c r="A373" t="s">
        <v>39</v>
      </c>
      <c r="B373">
        <v>591</v>
      </c>
      <c r="C373">
        <v>117</v>
      </c>
    </row>
    <row r="374" spans="1:3" x14ac:dyDescent="0.2">
      <c r="A374" t="s">
        <v>40</v>
      </c>
      <c r="B374">
        <v>582</v>
      </c>
      <c r="C374">
        <v>126</v>
      </c>
    </row>
    <row r="375" spans="1:3" x14ac:dyDescent="0.2">
      <c r="A375" t="s">
        <v>41</v>
      </c>
      <c r="B375">
        <v>594</v>
      </c>
      <c r="C375">
        <v>114</v>
      </c>
    </row>
    <row r="376" spans="1:3" x14ac:dyDescent="0.2">
      <c r="A376" t="s">
        <v>36</v>
      </c>
      <c r="B376">
        <v>587</v>
      </c>
      <c r="C376">
        <v>121</v>
      </c>
    </row>
    <row r="377" spans="1:3" x14ac:dyDescent="0.2">
      <c r="A377" t="s">
        <v>37</v>
      </c>
      <c r="B377">
        <v>580</v>
      </c>
      <c r="C377">
        <v>128</v>
      </c>
    </row>
    <row r="378" spans="1:3" x14ac:dyDescent="0.2">
      <c r="A378" t="s">
        <v>38</v>
      </c>
      <c r="B378">
        <v>596</v>
      </c>
      <c r="C378">
        <v>112</v>
      </c>
    </row>
    <row r="379" spans="1:3" x14ac:dyDescent="0.2">
      <c r="A379" t="s">
        <v>39</v>
      </c>
      <c r="B379">
        <v>575</v>
      </c>
      <c r="C379">
        <v>133</v>
      </c>
    </row>
    <row r="380" spans="1:3" x14ac:dyDescent="0.2">
      <c r="A380" t="s">
        <v>40</v>
      </c>
      <c r="B380">
        <v>600</v>
      </c>
      <c r="C380">
        <v>108</v>
      </c>
    </row>
    <row r="381" spans="1:3" x14ac:dyDescent="0.2">
      <c r="A381" t="s">
        <v>41</v>
      </c>
      <c r="B381">
        <v>600</v>
      </c>
      <c r="C381">
        <v>112</v>
      </c>
    </row>
    <row r="382" spans="1:3" x14ac:dyDescent="0.2">
      <c r="A382" t="s">
        <v>36</v>
      </c>
      <c r="B382">
        <v>600</v>
      </c>
      <c r="C382">
        <v>108</v>
      </c>
    </row>
    <row r="383" spans="1:3" x14ac:dyDescent="0.2">
      <c r="A383" t="s">
        <v>37</v>
      </c>
      <c r="B383">
        <v>594</v>
      </c>
      <c r="C383">
        <v>118</v>
      </c>
    </row>
    <row r="384" spans="1:3" x14ac:dyDescent="0.2">
      <c r="A384" t="s">
        <v>38</v>
      </c>
      <c r="B384">
        <v>598</v>
      </c>
      <c r="C384">
        <v>110</v>
      </c>
    </row>
    <row r="385" spans="1:3" x14ac:dyDescent="0.2">
      <c r="A385" t="s">
        <v>39</v>
      </c>
      <c r="B385">
        <v>573</v>
      </c>
      <c r="C385">
        <v>135</v>
      </c>
    </row>
    <row r="386" spans="1:3" x14ac:dyDescent="0.2">
      <c r="A386" t="s">
        <v>40</v>
      </c>
      <c r="B386">
        <v>590</v>
      </c>
      <c r="C386">
        <v>118</v>
      </c>
    </row>
    <row r="387" spans="1:3" x14ac:dyDescent="0.2">
      <c r="A387" t="s">
        <v>41</v>
      </c>
      <c r="B387">
        <v>597</v>
      </c>
      <c r="C387">
        <v>111</v>
      </c>
    </row>
    <row r="388" spans="1:3" x14ac:dyDescent="0.2">
      <c r="A388" t="s">
        <v>36</v>
      </c>
      <c r="B388">
        <v>589</v>
      </c>
      <c r="C388">
        <v>119</v>
      </c>
    </row>
    <row r="389" spans="1:3" x14ac:dyDescent="0.2">
      <c r="A389" t="s">
        <v>37</v>
      </c>
      <c r="B389">
        <v>600</v>
      </c>
      <c r="C389">
        <v>112</v>
      </c>
    </row>
    <row r="390" spans="1:3" x14ac:dyDescent="0.2">
      <c r="A390" t="s">
        <v>38</v>
      </c>
      <c r="B390">
        <v>598</v>
      </c>
      <c r="C390">
        <v>110</v>
      </c>
    </row>
    <row r="391" spans="1:3" x14ac:dyDescent="0.2">
      <c r="A391" t="s">
        <v>39</v>
      </c>
      <c r="B391">
        <v>583</v>
      </c>
      <c r="C391">
        <v>125</v>
      </c>
    </row>
    <row r="392" spans="1:3" x14ac:dyDescent="0.2">
      <c r="A392" t="s">
        <v>40</v>
      </c>
      <c r="B392">
        <v>586</v>
      </c>
      <c r="C392">
        <v>122</v>
      </c>
    </row>
    <row r="393" spans="1:3" x14ac:dyDescent="0.2">
      <c r="A393" t="s">
        <v>41</v>
      </c>
      <c r="B393">
        <v>588</v>
      </c>
      <c r="C393">
        <v>120</v>
      </c>
    </row>
    <row r="394" spans="1:3" x14ac:dyDescent="0.2">
      <c r="A394" t="s">
        <v>36</v>
      </c>
      <c r="B394">
        <v>567</v>
      </c>
      <c r="C394">
        <v>141</v>
      </c>
    </row>
    <row r="395" spans="1:3" x14ac:dyDescent="0.2">
      <c r="A395" t="s">
        <v>37</v>
      </c>
      <c r="B395">
        <v>600</v>
      </c>
      <c r="C395">
        <v>108</v>
      </c>
    </row>
    <row r="396" spans="1:3" x14ac:dyDescent="0.2">
      <c r="A396" t="s">
        <v>38</v>
      </c>
      <c r="B396">
        <v>596</v>
      </c>
      <c r="C396">
        <v>116</v>
      </c>
    </row>
    <row r="397" spans="1:3" x14ac:dyDescent="0.2">
      <c r="A397" t="s">
        <v>39</v>
      </c>
      <c r="B397">
        <v>598</v>
      </c>
      <c r="C397">
        <v>110</v>
      </c>
    </row>
    <row r="398" spans="1:3" x14ac:dyDescent="0.2">
      <c r="A398" t="s">
        <v>40</v>
      </c>
      <c r="B398">
        <v>575</v>
      </c>
      <c r="C398">
        <v>133</v>
      </c>
    </row>
    <row r="399" spans="1:3" x14ac:dyDescent="0.2">
      <c r="A399" t="s">
        <v>41</v>
      </c>
      <c r="B399">
        <v>583</v>
      </c>
      <c r="C399">
        <v>125</v>
      </c>
    </row>
    <row r="400" spans="1:3" x14ac:dyDescent="0.2">
      <c r="A400" t="s">
        <v>36</v>
      </c>
      <c r="B400">
        <v>596</v>
      </c>
      <c r="C400">
        <v>116</v>
      </c>
    </row>
    <row r="401" spans="1:3" x14ac:dyDescent="0.2">
      <c r="A401" t="s">
        <v>37</v>
      </c>
      <c r="B401">
        <v>579</v>
      </c>
      <c r="C401">
        <v>129</v>
      </c>
    </row>
    <row r="402" spans="1:3" x14ac:dyDescent="0.2">
      <c r="A402" t="s">
        <v>38</v>
      </c>
      <c r="B402">
        <v>600</v>
      </c>
      <c r="C402">
        <v>108</v>
      </c>
    </row>
    <row r="403" spans="1:3" x14ac:dyDescent="0.2">
      <c r="A403" t="s">
        <v>39</v>
      </c>
      <c r="B403">
        <v>600</v>
      </c>
      <c r="C403">
        <v>108</v>
      </c>
    </row>
    <row r="404" spans="1:3" x14ac:dyDescent="0.2">
      <c r="A404" t="s">
        <v>40</v>
      </c>
      <c r="B404">
        <v>582</v>
      </c>
      <c r="C404">
        <v>126</v>
      </c>
    </row>
    <row r="405" spans="1:3" x14ac:dyDescent="0.2">
      <c r="A405" t="s">
        <v>41</v>
      </c>
      <c r="B405">
        <v>600</v>
      </c>
      <c r="C405">
        <v>108</v>
      </c>
    </row>
    <row r="406" spans="1:3" x14ac:dyDescent="0.2">
      <c r="A406" t="s">
        <v>36</v>
      </c>
      <c r="B406">
        <v>544</v>
      </c>
      <c r="C406">
        <v>164</v>
      </c>
    </row>
    <row r="407" spans="1:3" x14ac:dyDescent="0.2">
      <c r="A407" t="s">
        <v>37</v>
      </c>
      <c r="B407">
        <v>572</v>
      </c>
      <c r="C407">
        <v>136</v>
      </c>
    </row>
    <row r="408" spans="1:3" x14ac:dyDescent="0.2">
      <c r="A408" t="s">
        <v>38</v>
      </c>
      <c r="B408">
        <v>598</v>
      </c>
      <c r="C408">
        <v>110</v>
      </c>
    </row>
    <row r="409" spans="1:3" x14ac:dyDescent="0.2">
      <c r="A409" t="s">
        <v>39</v>
      </c>
      <c r="B409">
        <v>594</v>
      </c>
      <c r="C409">
        <v>114</v>
      </c>
    </row>
    <row r="410" spans="1:3" x14ac:dyDescent="0.2">
      <c r="A410" t="s">
        <v>40</v>
      </c>
      <c r="B410">
        <v>551</v>
      </c>
      <c r="C410">
        <v>161</v>
      </c>
    </row>
    <row r="411" spans="1:3" x14ac:dyDescent="0.2">
      <c r="A411" t="s">
        <v>41</v>
      </c>
      <c r="B411">
        <v>594</v>
      </c>
      <c r="C411">
        <v>114</v>
      </c>
    </row>
    <row r="412" spans="1:3" x14ac:dyDescent="0.2">
      <c r="A412" t="s">
        <v>36</v>
      </c>
      <c r="B412">
        <v>572</v>
      </c>
      <c r="C412">
        <v>136</v>
      </c>
    </row>
    <row r="413" spans="1:3" x14ac:dyDescent="0.2">
      <c r="A413" t="s">
        <v>37</v>
      </c>
      <c r="B413">
        <v>562</v>
      </c>
      <c r="C413">
        <v>146</v>
      </c>
    </row>
    <row r="414" spans="1:3" x14ac:dyDescent="0.2">
      <c r="A414" t="s">
        <v>38</v>
      </c>
      <c r="B414">
        <v>596</v>
      </c>
      <c r="C414">
        <v>116</v>
      </c>
    </row>
    <row r="415" spans="1:3" x14ac:dyDescent="0.2">
      <c r="A415" t="s">
        <v>39</v>
      </c>
      <c r="B415">
        <v>594</v>
      </c>
      <c r="C415">
        <v>114</v>
      </c>
    </row>
    <row r="416" spans="1:3" x14ac:dyDescent="0.2">
      <c r="A416" t="s">
        <v>40</v>
      </c>
      <c r="B416">
        <v>600</v>
      </c>
      <c r="C416">
        <v>108</v>
      </c>
    </row>
    <row r="417" spans="1:3" x14ac:dyDescent="0.2">
      <c r="A417" t="s">
        <v>41</v>
      </c>
      <c r="B417">
        <v>600</v>
      </c>
      <c r="C417">
        <v>108</v>
      </c>
    </row>
    <row r="418" spans="1:3" x14ac:dyDescent="0.2">
      <c r="A418" t="s">
        <v>36</v>
      </c>
      <c r="B418">
        <v>600</v>
      </c>
      <c r="C418">
        <v>108</v>
      </c>
    </row>
    <row r="419" spans="1:3" x14ac:dyDescent="0.2">
      <c r="A419" t="s">
        <v>37</v>
      </c>
      <c r="B419">
        <v>558</v>
      </c>
      <c r="C419">
        <v>150</v>
      </c>
    </row>
    <row r="420" spans="1:3" x14ac:dyDescent="0.2">
      <c r="A420" t="s">
        <v>38</v>
      </c>
      <c r="B420">
        <v>594</v>
      </c>
      <c r="C420">
        <v>114</v>
      </c>
    </row>
    <row r="421" spans="1:3" x14ac:dyDescent="0.2">
      <c r="A421" t="s">
        <v>39</v>
      </c>
      <c r="B421">
        <v>594</v>
      </c>
      <c r="C421">
        <v>114</v>
      </c>
    </row>
    <row r="422" spans="1:3" x14ac:dyDescent="0.2">
      <c r="A422" t="s">
        <v>40</v>
      </c>
      <c r="B422">
        <v>562</v>
      </c>
      <c r="C422">
        <v>146</v>
      </c>
    </row>
    <row r="423" spans="1:3" x14ac:dyDescent="0.2">
      <c r="A423" t="s">
        <v>41</v>
      </c>
      <c r="B423">
        <v>596</v>
      </c>
      <c r="C423">
        <v>116</v>
      </c>
    </row>
    <row r="424" spans="1:3" x14ac:dyDescent="0.2">
      <c r="A424" t="s">
        <v>36</v>
      </c>
      <c r="B424">
        <v>596</v>
      </c>
      <c r="C424">
        <v>112</v>
      </c>
    </row>
    <row r="425" spans="1:3" x14ac:dyDescent="0.2">
      <c r="A425" t="s">
        <v>37</v>
      </c>
      <c r="B425">
        <v>531</v>
      </c>
      <c r="C425">
        <v>181</v>
      </c>
    </row>
    <row r="426" spans="1:3" x14ac:dyDescent="0.2">
      <c r="A426" t="s">
        <v>38</v>
      </c>
      <c r="B426">
        <v>594</v>
      </c>
      <c r="C426">
        <v>114</v>
      </c>
    </row>
    <row r="427" spans="1:3" x14ac:dyDescent="0.2">
      <c r="A427" t="s">
        <v>39</v>
      </c>
      <c r="B427">
        <v>594</v>
      </c>
      <c r="C427">
        <v>114</v>
      </c>
    </row>
    <row r="428" spans="1:3" x14ac:dyDescent="0.2">
      <c r="A428" t="s">
        <v>40</v>
      </c>
      <c r="B428">
        <v>590</v>
      </c>
      <c r="C428">
        <v>118</v>
      </c>
    </row>
    <row r="429" spans="1:3" x14ac:dyDescent="0.2">
      <c r="A429" t="s">
        <v>41</v>
      </c>
      <c r="B429">
        <v>600</v>
      </c>
      <c r="C429">
        <v>108</v>
      </c>
    </row>
    <row r="430" spans="1:3" x14ac:dyDescent="0.2">
      <c r="A430" t="s">
        <v>36</v>
      </c>
      <c r="B430">
        <v>598</v>
      </c>
      <c r="C430">
        <v>110</v>
      </c>
    </row>
    <row r="431" spans="1:3" x14ac:dyDescent="0.2">
      <c r="A431" t="s">
        <v>37</v>
      </c>
      <c r="B431">
        <v>600</v>
      </c>
      <c r="C431">
        <v>108</v>
      </c>
    </row>
    <row r="432" spans="1:3" x14ac:dyDescent="0.2">
      <c r="A432" t="s">
        <v>38</v>
      </c>
      <c r="B432">
        <v>586</v>
      </c>
      <c r="C432">
        <v>122</v>
      </c>
    </row>
    <row r="433" spans="1:3" x14ac:dyDescent="0.2">
      <c r="A433" t="s">
        <v>39</v>
      </c>
      <c r="B433">
        <v>594</v>
      </c>
      <c r="C433">
        <v>114</v>
      </c>
    </row>
    <row r="434" spans="1:3" x14ac:dyDescent="0.2">
      <c r="A434" t="s">
        <v>40</v>
      </c>
      <c r="B434">
        <v>596</v>
      </c>
      <c r="C434">
        <v>112</v>
      </c>
    </row>
    <row r="435" spans="1:3" x14ac:dyDescent="0.2">
      <c r="A435" t="s">
        <v>41</v>
      </c>
      <c r="B435">
        <v>594</v>
      </c>
      <c r="C435">
        <v>118</v>
      </c>
    </row>
    <row r="436" spans="1:3" x14ac:dyDescent="0.2">
      <c r="A436" t="s">
        <v>36</v>
      </c>
      <c r="B436">
        <v>537</v>
      </c>
      <c r="C436">
        <v>171</v>
      </c>
    </row>
    <row r="437" spans="1:3" x14ac:dyDescent="0.2">
      <c r="A437" t="s">
        <v>37</v>
      </c>
      <c r="B437">
        <v>588</v>
      </c>
      <c r="C437">
        <v>120</v>
      </c>
    </row>
    <row r="438" spans="1:3" x14ac:dyDescent="0.2">
      <c r="A438" t="s">
        <v>38</v>
      </c>
      <c r="B438">
        <v>598</v>
      </c>
      <c r="C438">
        <v>110</v>
      </c>
    </row>
    <row r="439" spans="1:3" x14ac:dyDescent="0.2">
      <c r="A439" t="s">
        <v>39</v>
      </c>
      <c r="B439">
        <v>600</v>
      </c>
      <c r="C439">
        <v>112</v>
      </c>
    </row>
    <row r="440" spans="1:3" x14ac:dyDescent="0.2">
      <c r="A440" t="s">
        <v>40</v>
      </c>
      <c r="B440">
        <v>555</v>
      </c>
      <c r="C440">
        <v>153</v>
      </c>
    </row>
    <row r="441" spans="1:3" x14ac:dyDescent="0.2">
      <c r="A441" t="s">
        <v>41</v>
      </c>
      <c r="B441">
        <v>592</v>
      </c>
      <c r="C441">
        <v>116</v>
      </c>
    </row>
    <row r="442" spans="1:3" x14ac:dyDescent="0.2">
      <c r="A442" t="s">
        <v>36</v>
      </c>
      <c r="B442">
        <v>596</v>
      </c>
      <c r="C442">
        <v>112</v>
      </c>
    </row>
    <row r="443" spans="1:3" x14ac:dyDescent="0.2">
      <c r="A443" t="s">
        <v>37</v>
      </c>
      <c r="B443">
        <v>537</v>
      </c>
      <c r="C443">
        <v>171</v>
      </c>
    </row>
    <row r="444" spans="1:3" x14ac:dyDescent="0.2">
      <c r="A444" t="s">
        <v>38</v>
      </c>
      <c r="B444">
        <v>592</v>
      </c>
      <c r="C444">
        <v>116</v>
      </c>
    </row>
    <row r="445" spans="1:3" x14ac:dyDescent="0.2">
      <c r="A445" t="s">
        <v>39</v>
      </c>
      <c r="B445">
        <v>589</v>
      </c>
      <c r="C445">
        <v>119</v>
      </c>
    </row>
    <row r="446" spans="1:3" x14ac:dyDescent="0.2">
      <c r="A446" t="s">
        <v>40</v>
      </c>
      <c r="B446">
        <v>600</v>
      </c>
      <c r="C446">
        <v>112</v>
      </c>
    </row>
    <row r="447" spans="1:3" x14ac:dyDescent="0.2">
      <c r="A447" t="s">
        <v>41</v>
      </c>
      <c r="B447">
        <v>592</v>
      </c>
      <c r="C447">
        <v>116</v>
      </c>
    </row>
    <row r="448" spans="1:3" x14ac:dyDescent="0.2">
      <c r="A448" t="s">
        <v>36</v>
      </c>
      <c r="B448">
        <v>600</v>
      </c>
      <c r="C448">
        <v>108</v>
      </c>
    </row>
    <row r="449" spans="1:3" x14ac:dyDescent="0.2">
      <c r="A449" t="s">
        <v>37</v>
      </c>
      <c r="B449">
        <v>600</v>
      </c>
      <c r="C449">
        <v>108</v>
      </c>
    </row>
    <row r="450" spans="1:3" x14ac:dyDescent="0.2">
      <c r="A450" t="s">
        <v>38</v>
      </c>
      <c r="B450">
        <v>600</v>
      </c>
      <c r="C450">
        <v>108</v>
      </c>
    </row>
    <row r="451" spans="1:3" x14ac:dyDescent="0.2">
      <c r="A451" t="s">
        <v>39</v>
      </c>
      <c r="B451">
        <v>588</v>
      </c>
      <c r="C451">
        <v>120</v>
      </c>
    </row>
    <row r="452" spans="1:3" x14ac:dyDescent="0.2">
      <c r="A452" t="s">
        <v>40</v>
      </c>
      <c r="B452">
        <v>600</v>
      </c>
      <c r="C452">
        <v>108</v>
      </c>
    </row>
    <row r="453" spans="1:3" x14ac:dyDescent="0.2">
      <c r="A453" t="s">
        <v>41</v>
      </c>
      <c r="B453">
        <v>600</v>
      </c>
      <c r="C453">
        <v>112</v>
      </c>
    </row>
    <row r="454" spans="1:3" x14ac:dyDescent="0.2">
      <c r="A454" t="s">
        <v>36</v>
      </c>
      <c r="B454">
        <v>600</v>
      </c>
      <c r="C454">
        <v>108</v>
      </c>
    </row>
    <row r="455" spans="1:3" x14ac:dyDescent="0.2">
      <c r="A455" t="s">
        <v>37</v>
      </c>
      <c r="B455">
        <v>598</v>
      </c>
      <c r="C455">
        <v>114</v>
      </c>
    </row>
    <row r="456" spans="1:3" x14ac:dyDescent="0.2">
      <c r="A456" t="s">
        <v>38</v>
      </c>
      <c r="B456">
        <v>596</v>
      </c>
      <c r="C456">
        <v>112</v>
      </c>
    </row>
    <row r="457" spans="1:3" x14ac:dyDescent="0.2">
      <c r="A457" t="s">
        <v>39</v>
      </c>
      <c r="B457">
        <v>598</v>
      </c>
      <c r="C457">
        <v>110</v>
      </c>
    </row>
    <row r="458" spans="1:3" x14ac:dyDescent="0.2">
      <c r="A458" t="s">
        <v>40</v>
      </c>
      <c r="B458">
        <v>600</v>
      </c>
      <c r="C458">
        <v>108</v>
      </c>
    </row>
    <row r="459" spans="1:3" x14ac:dyDescent="0.2">
      <c r="A459" t="s">
        <v>41</v>
      </c>
      <c r="B459">
        <v>600</v>
      </c>
      <c r="C459">
        <v>108</v>
      </c>
    </row>
    <row r="460" spans="1:3" x14ac:dyDescent="0.2">
      <c r="A460" t="s">
        <v>36</v>
      </c>
      <c r="B460">
        <v>572</v>
      </c>
      <c r="C460">
        <v>136</v>
      </c>
    </row>
    <row r="461" spans="1:3" x14ac:dyDescent="0.2">
      <c r="A461" t="s">
        <v>37</v>
      </c>
      <c r="B461">
        <v>586</v>
      </c>
      <c r="C461">
        <v>126</v>
      </c>
    </row>
    <row r="462" spans="1:3" x14ac:dyDescent="0.2">
      <c r="A462" t="s">
        <v>38</v>
      </c>
      <c r="B462">
        <v>596</v>
      </c>
      <c r="C462">
        <v>112</v>
      </c>
    </row>
    <row r="463" spans="1:3" x14ac:dyDescent="0.2">
      <c r="A463" t="s">
        <v>39</v>
      </c>
      <c r="B463">
        <v>594</v>
      </c>
      <c r="C463">
        <v>114</v>
      </c>
    </row>
    <row r="464" spans="1:3" x14ac:dyDescent="0.2">
      <c r="A464" t="s">
        <v>40</v>
      </c>
      <c r="B464">
        <v>582</v>
      </c>
      <c r="C464">
        <v>126</v>
      </c>
    </row>
    <row r="465" spans="1:3" x14ac:dyDescent="0.2">
      <c r="A465" t="s">
        <v>41</v>
      </c>
      <c r="B465">
        <v>586</v>
      </c>
      <c r="C465">
        <v>122</v>
      </c>
    </row>
    <row r="466" spans="1:3" x14ac:dyDescent="0.2">
      <c r="A466" t="s">
        <v>36</v>
      </c>
      <c r="B466">
        <v>593</v>
      </c>
      <c r="C466">
        <v>115</v>
      </c>
    </row>
    <row r="467" spans="1:3" x14ac:dyDescent="0.2">
      <c r="A467" t="s">
        <v>37</v>
      </c>
      <c r="B467">
        <v>582</v>
      </c>
      <c r="C467">
        <v>126</v>
      </c>
    </row>
    <row r="468" spans="1:3" x14ac:dyDescent="0.2">
      <c r="A468" t="s">
        <v>38</v>
      </c>
      <c r="B468">
        <v>600</v>
      </c>
      <c r="C468">
        <v>108</v>
      </c>
    </row>
    <row r="469" spans="1:3" x14ac:dyDescent="0.2">
      <c r="A469" t="s">
        <v>39</v>
      </c>
      <c r="B469">
        <v>587</v>
      </c>
      <c r="C469">
        <v>121</v>
      </c>
    </row>
    <row r="470" spans="1:3" x14ac:dyDescent="0.2">
      <c r="A470" t="s">
        <v>40</v>
      </c>
      <c r="B470">
        <v>590</v>
      </c>
      <c r="C470">
        <v>122</v>
      </c>
    </row>
    <row r="471" spans="1:3" x14ac:dyDescent="0.2">
      <c r="A471" t="s">
        <v>41</v>
      </c>
      <c r="B471">
        <v>593</v>
      </c>
      <c r="C471">
        <v>115</v>
      </c>
    </row>
    <row r="472" spans="1:3" x14ac:dyDescent="0.2">
      <c r="A472" t="s">
        <v>36</v>
      </c>
      <c r="B472">
        <v>599</v>
      </c>
      <c r="C472">
        <v>109</v>
      </c>
    </row>
    <row r="473" spans="1:3" x14ac:dyDescent="0.2">
      <c r="A473" t="s">
        <v>37</v>
      </c>
      <c r="B473">
        <v>580</v>
      </c>
      <c r="C473">
        <v>128</v>
      </c>
    </row>
    <row r="474" spans="1:3" x14ac:dyDescent="0.2">
      <c r="A474" t="s">
        <v>38</v>
      </c>
      <c r="B474">
        <v>598</v>
      </c>
      <c r="C474">
        <v>110</v>
      </c>
    </row>
    <row r="475" spans="1:3" x14ac:dyDescent="0.2">
      <c r="A475" t="s">
        <v>39</v>
      </c>
      <c r="B475">
        <v>598</v>
      </c>
      <c r="C475">
        <v>110</v>
      </c>
    </row>
    <row r="476" spans="1:3" x14ac:dyDescent="0.2">
      <c r="A476" t="s">
        <v>40</v>
      </c>
      <c r="B476">
        <v>567</v>
      </c>
      <c r="C476">
        <v>145</v>
      </c>
    </row>
    <row r="477" spans="1:3" x14ac:dyDescent="0.2">
      <c r="A477" t="s">
        <v>41</v>
      </c>
      <c r="B477">
        <v>598</v>
      </c>
      <c r="C477">
        <v>110</v>
      </c>
    </row>
    <row r="478" spans="1:3" x14ac:dyDescent="0.2">
      <c r="A478" t="s">
        <v>36</v>
      </c>
      <c r="B478">
        <v>600</v>
      </c>
      <c r="C478">
        <v>108</v>
      </c>
    </row>
    <row r="479" spans="1:3" x14ac:dyDescent="0.2">
      <c r="A479" t="s">
        <v>37</v>
      </c>
      <c r="B479">
        <v>572</v>
      </c>
      <c r="C479">
        <v>136</v>
      </c>
    </row>
    <row r="480" spans="1:3" x14ac:dyDescent="0.2">
      <c r="A480" t="s">
        <v>38</v>
      </c>
      <c r="B480">
        <v>596</v>
      </c>
      <c r="C480">
        <v>112</v>
      </c>
    </row>
    <row r="481" spans="1:3" x14ac:dyDescent="0.2">
      <c r="A481" t="s">
        <v>39</v>
      </c>
      <c r="B481">
        <v>587</v>
      </c>
      <c r="C481">
        <v>121</v>
      </c>
    </row>
    <row r="482" spans="1:3" x14ac:dyDescent="0.2">
      <c r="A482" t="s">
        <v>40</v>
      </c>
      <c r="B482">
        <v>582</v>
      </c>
      <c r="C482">
        <v>130</v>
      </c>
    </row>
    <row r="483" spans="1:3" x14ac:dyDescent="0.2">
      <c r="A483" t="s">
        <v>41</v>
      </c>
      <c r="B483">
        <v>596</v>
      </c>
      <c r="C483">
        <v>112</v>
      </c>
    </row>
    <row r="484" spans="1:3" x14ac:dyDescent="0.2">
      <c r="A484" t="s">
        <v>36</v>
      </c>
      <c r="B484">
        <v>600</v>
      </c>
      <c r="C484">
        <v>108</v>
      </c>
    </row>
    <row r="485" spans="1:3" x14ac:dyDescent="0.2">
      <c r="A485" t="s">
        <v>37</v>
      </c>
      <c r="B485">
        <v>579</v>
      </c>
      <c r="C485">
        <v>129</v>
      </c>
    </row>
    <row r="486" spans="1:3" x14ac:dyDescent="0.2">
      <c r="A486" t="s">
        <v>38</v>
      </c>
      <c r="B486">
        <v>596</v>
      </c>
      <c r="C486">
        <v>112</v>
      </c>
    </row>
    <row r="487" spans="1:3" x14ac:dyDescent="0.2">
      <c r="A487" t="s">
        <v>39</v>
      </c>
      <c r="B487">
        <v>570</v>
      </c>
      <c r="C487">
        <v>138</v>
      </c>
    </row>
    <row r="488" spans="1:3" x14ac:dyDescent="0.2">
      <c r="A488" t="s">
        <v>40</v>
      </c>
      <c r="B488">
        <v>585</v>
      </c>
      <c r="C488">
        <v>123</v>
      </c>
    </row>
    <row r="489" spans="1:3" x14ac:dyDescent="0.2">
      <c r="A489" t="s">
        <v>41</v>
      </c>
      <c r="B489">
        <v>600</v>
      </c>
      <c r="C489">
        <v>112</v>
      </c>
    </row>
    <row r="490" spans="1:3" x14ac:dyDescent="0.2">
      <c r="A490" t="s">
        <v>36</v>
      </c>
      <c r="B490">
        <v>548</v>
      </c>
      <c r="C490">
        <v>160</v>
      </c>
    </row>
    <row r="491" spans="1:3" x14ac:dyDescent="0.2">
      <c r="A491" t="s">
        <v>37</v>
      </c>
      <c r="B491">
        <v>568</v>
      </c>
      <c r="C491">
        <v>140</v>
      </c>
    </row>
    <row r="492" spans="1:3" x14ac:dyDescent="0.2">
      <c r="A492" t="s">
        <v>38</v>
      </c>
      <c r="B492">
        <v>598</v>
      </c>
      <c r="C492">
        <v>110</v>
      </c>
    </row>
    <row r="493" spans="1:3" x14ac:dyDescent="0.2">
      <c r="A493" t="s">
        <v>39</v>
      </c>
      <c r="B493">
        <v>600</v>
      </c>
      <c r="C493">
        <v>112</v>
      </c>
    </row>
    <row r="494" spans="1:3" x14ac:dyDescent="0.2">
      <c r="A494" t="s">
        <v>40</v>
      </c>
      <c r="B494">
        <v>582</v>
      </c>
      <c r="C494">
        <v>126</v>
      </c>
    </row>
    <row r="495" spans="1:3" x14ac:dyDescent="0.2">
      <c r="A495" t="s">
        <v>41</v>
      </c>
      <c r="B495">
        <v>600</v>
      </c>
      <c r="C495">
        <v>108</v>
      </c>
    </row>
    <row r="496" spans="1:3" x14ac:dyDescent="0.2">
      <c r="A496" t="s">
        <v>36</v>
      </c>
      <c r="B496">
        <v>600</v>
      </c>
      <c r="C496">
        <v>108</v>
      </c>
    </row>
    <row r="497" spans="1:3" x14ac:dyDescent="0.2">
      <c r="A497" t="s">
        <v>37</v>
      </c>
      <c r="B497">
        <v>598</v>
      </c>
      <c r="C497">
        <v>114</v>
      </c>
    </row>
    <row r="498" spans="1:3" x14ac:dyDescent="0.2">
      <c r="A498" t="s">
        <v>38</v>
      </c>
      <c r="B498">
        <v>594</v>
      </c>
      <c r="C498">
        <v>114</v>
      </c>
    </row>
    <row r="499" spans="1:3" x14ac:dyDescent="0.2">
      <c r="A499" t="s">
        <v>39</v>
      </c>
      <c r="B499">
        <v>598</v>
      </c>
      <c r="C499">
        <v>110</v>
      </c>
    </row>
    <row r="500" spans="1:3" x14ac:dyDescent="0.2">
      <c r="A500" t="s">
        <v>40</v>
      </c>
      <c r="B500">
        <v>590</v>
      </c>
      <c r="C500">
        <v>118</v>
      </c>
    </row>
    <row r="501" spans="1:3" x14ac:dyDescent="0.2">
      <c r="A501" t="s">
        <v>41</v>
      </c>
      <c r="B501">
        <v>600</v>
      </c>
      <c r="C501">
        <v>108</v>
      </c>
    </row>
    <row r="502" spans="1:3" x14ac:dyDescent="0.2">
      <c r="A502" t="s">
        <v>36</v>
      </c>
      <c r="B502">
        <v>504</v>
      </c>
      <c r="C502">
        <v>204</v>
      </c>
    </row>
    <row r="503" spans="1:3" x14ac:dyDescent="0.2">
      <c r="A503" t="s">
        <v>37</v>
      </c>
      <c r="B503">
        <v>598</v>
      </c>
      <c r="C503">
        <v>110</v>
      </c>
    </row>
    <row r="504" spans="1:3" x14ac:dyDescent="0.2">
      <c r="A504" t="s">
        <v>38</v>
      </c>
      <c r="B504">
        <v>598</v>
      </c>
      <c r="C504">
        <v>114</v>
      </c>
    </row>
    <row r="505" spans="1:3" x14ac:dyDescent="0.2">
      <c r="A505" t="s">
        <v>39</v>
      </c>
      <c r="B505">
        <v>600</v>
      </c>
      <c r="C505">
        <v>108</v>
      </c>
    </row>
    <row r="506" spans="1:3" x14ac:dyDescent="0.2">
      <c r="A506" t="s">
        <v>40</v>
      </c>
      <c r="B506">
        <v>600</v>
      </c>
      <c r="C506">
        <v>108</v>
      </c>
    </row>
    <row r="507" spans="1:3" x14ac:dyDescent="0.2">
      <c r="A507" t="s">
        <v>41</v>
      </c>
      <c r="B507">
        <v>600</v>
      </c>
      <c r="C507">
        <v>108</v>
      </c>
    </row>
    <row r="508" spans="1:3" x14ac:dyDescent="0.2">
      <c r="A508" t="s">
        <v>36</v>
      </c>
      <c r="B508">
        <v>600</v>
      </c>
      <c r="C508">
        <v>108</v>
      </c>
    </row>
    <row r="509" spans="1:3" x14ac:dyDescent="0.2">
      <c r="A509" t="s">
        <v>37</v>
      </c>
      <c r="B509">
        <v>595</v>
      </c>
      <c r="C509">
        <v>117</v>
      </c>
    </row>
    <row r="510" spans="1:3" x14ac:dyDescent="0.2">
      <c r="A510" t="s">
        <v>38</v>
      </c>
      <c r="B510">
        <v>596</v>
      </c>
      <c r="C510">
        <v>112</v>
      </c>
    </row>
    <row r="511" spans="1:3" x14ac:dyDescent="0.2">
      <c r="A511" t="s">
        <v>39</v>
      </c>
      <c r="B511">
        <v>600</v>
      </c>
      <c r="C511">
        <v>108</v>
      </c>
    </row>
    <row r="512" spans="1:3" x14ac:dyDescent="0.2">
      <c r="A512" t="s">
        <v>40</v>
      </c>
      <c r="B512">
        <v>594</v>
      </c>
      <c r="C512">
        <v>114</v>
      </c>
    </row>
    <row r="513" spans="1:3" x14ac:dyDescent="0.2">
      <c r="A513" t="s">
        <v>41</v>
      </c>
      <c r="B513">
        <v>598</v>
      </c>
      <c r="C513">
        <v>110</v>
      </c>
    </row>
    <row r="514" spans="1:3" x14ac:dyDescent="0.2">
      <c r="A514" t="s">
        <v>36</v>
      </c>
      <c r="B514">
        <v>600</v>
      </c>
      <c r="C514">
        <v>108</v>
      </c>
    </row>
    <row r="515" spans="1:3" x14ac:dyDescent="0.2">
      <c r="A515" t="s">
        <v>37</v>
      </c>
      <c r="B515">
        <v>600</v>
      </c>
      <c r="C515">
        <v>108</v>
      </c>
    </row>
    <row r="516" spans="1:3" x14ac:dyDescent="0.2">
      <c r="A516" t="s">
        <v>38</v>
      </c>
      <c r="B516">
        <v>594</v>
      </c>
      <c r="C516">
        <v>118</v>
      </c>
    </row>
    <row r="517" spans="1:3" x14ac:dyDescent="0.2">
      <c r="A517" t="s">
        <v>39</v>
      </c>
      <c r="B517">
        <v>600</v>
      </c>
      <c r="C517">
        <v>108</v>
      </c>
    </row>
    <row r="518" spans="1:3" x14ac:dyDescent="0.2">
      <c r="A518" t="s">
        <v>40</v>
      </c>
      <c r="B518">
        <v>600</v>
      </c>
      <c r="C518">
        <v>108</v>
      </c>
    </row>
    <row r="519" spans="1:3" x14ac:dyDescent="0.2">
      <c r="A519" t="s">
        <v>41</v>
      </c>
      <c r="B519">
        <v>590</v>
      </c>
      <c r="C519">
        <v>118</v>
      </c>
    </row>
    <row r="520" spans="1:3" x14ac:dyDescent="0.2">
      <c r="A520" t="s">
        <v>36</v>
      </c>
      <c r="B520">
        <v>575</v>
      </c>
      <c r="C520">
        <v>133</v>
      </c>
    </row>
    <row r="521" spans="1:3" x14ac:dyDescent="0.2">
      <c r="A521" t="s">
        <v>37</v>
      </c>
      <c r="B521">
        <v>598</v>
      </c>
      <c r="C521">
        <v>110</v>
      </c>
    </row>
    <row r="522" spans="1:3" x14ac:dyDescent="0.2">
      <c r="A522" t="s">
        <v>38</v>
      </c>
      <c r="B522">
        <v>600</v>
      </c>
      <c r="C522">
        <v>108</v>
      </c>
    </row>
    <row r="523" spans="1:3" x14ac:dyDescent="0.2">
      <c r="A523" t="s">
        <v>39</v>
      </c>
      <c r="B523">
        <v>598</v>
      </c>
      <c r="C523">
        <v>110</v>
      </c>
    </row>
    <row r="524" spans="1:3" x14ac:dyDescent="0.2">
      <c r="A524" t="s">
        <v>40</v>
      </c>
      <c r="B524">
        <v>598</v>
      </c>
      <c r="C524">
        <v>114</v>
      </c>
    </row>
    <row r="525" spans="1:3" x14ac:dyDescent="0.2">
      <c r="A525" t="s">
        <v>41</v>
      </c>
      <c r="B525">
        <v>598</v>
      </c>
      <c r="C525">
        <v>110</v>
      </c>
    </row>
    <row r="526" spans="1:3" x14ac:dyDescent="0.2">
      <c r="A526" t="s">
        <v>36</v>
      </c>
      <c r="B526">
        <v>531</v>
      </c>
      <c r="C526">
        <v>177</v>
      </c>
    </row>
    <row r="527" spans="1:3" x14ac:dyDescent="0.2">
      <c r="A527" t="s">
        <v>37</v>
      </c>
      <c r="B527">
        <v>562</v>
      </c>
      <c r="C527">
        <v>146</v>
      </c>
    </row>
    <row r="528" spans="1:3" x14ac:dyDescent="0.2">
      <c r="A528" t="s">
        <v>38</v>
      </c>
      <c r="B528">
        <v>598</v>
      </c>
      <c r="C528">
        <v>110</v>
      </c>
    </row>
    <row r="529" spans="1:3" x14ac:dyDescent="0.2">
      <c r="A529" t="s">
        <v>39</v>
      </c>
      <c r="B529">
        <v>570</v>
      </c>
      <c r="C529">
        <v>138</v>
      </c>
    </row>
    <row r="530" spans="1:3" x14ac:dyDescent="0.2">
      <c r="A530" t="s">
        <v>40</v>
      </c>
      <c r="B530">
        <v>594</v>
      </c>
      <c r="C530">
        <v>118</v>
      </c>
    </row>
    <row r="531" spans="1:3" x14ac:dyDescent="0.2">
      <c r="A531" t="s">
        <v>41</v>
      </c>
      <c r="B531">
        <v>600</v>
      </c>
      <c r="C531">
        <v>108</v>
      </c>
    </row>
    <row r="532" spans="1:3" x14ac:dyDescent="0.2">
      <c r="A532" t="s">
        <v>36</v>
      </c>
      <c r="B532">
        <v>586</v>
      </c>
      <c r="C532">
        <v>126</v>
      </c>
    </row>
    <row r="533" spans="1:3" x14ac:dyDescent="0.2">
      <c r="A533" t="s">
        <v>37</v>
      </c>
      <c r="B533">
        <v>592</v>
      </c>
      <c r="C533">
        <v>116</v>
      </c>
    </row>
    <row r="534" spans="1:3" x14ac:dyDescent="0.2">
      <c r="A534" t="s">
        <v>38</v>
      </c>
      <c r="B534">
        <v>596</v>
      </c>
      <c r="C534">
        <v>112</v>
      </c>
    </row>
    <row r="535" spans="1:3" x14ac:dyDescent="0.2">
      <c r="A535" t="s">
        <v>39</v>
      </c>
      <c r="B535">
        <v>596</v>
      </c>
      <c r="C535">
        <v>112</v>
      </c>
    </row>
    <row r="536" spans="1:3" x14ac:dyDescent="0.2">
      <c r="A536" t="s">
        <v>40</v>
      </c>
      <c r="B536">
        <v>588</v>
      </c>
      <c r="C536">
        <v>120</v>
      </c>
    </row>
    <row r="537" spans="1:3" x14ac:dyDescent="0.2">
      <c r="A537" t="s">
        <v>41</v>
      </c>
      <c r="B537">
        <v>594</v>
      </c>
      <c r="C537">
        <v>114</v>
      </c>
    </row>
    <row r="538" spans="1:3" x14ac:dyDescent="0.2">
      <c r="A538" t="s">
        <v>36</v>
      </c>
      <c r="B538">
        <v>600</v>
      </c>
      <c r="C538">
        <v>112</v>
      </c>
    </row>
    <row r="539" spans="1:3" x14ac:dyDescent="0.2">
      <c r="A539" t="s">
        <v>37</v>
      </c>
      <c r="B539">
        <v>598</v>
      </c>
      <c r="C539">
        <v>110</v>
      </c>
    </row>
    <row r="540" spans="1:3" x14ac:dyDescent="0.2">
      <c r="A540" t="s">
        <v>38</v>
      </c>
      <c r="B540">
        <v>598</v>
      </c>
      <c r="C540">
        <v>110</v>
      </c>
    </row>
    <row r="541" spans="1:3" x14ac:dyDescent="0.2">
      <c r="A541" t="s">
        <v>39</v>
      </c>
      <c r="B541">
        <v>598</v>
      </c>
      <c r="C541">
        <v>110</v>
      </c>
    </row>
    <row r="542" spans="1:3" x14ac:dyDescent="0.2">
      <c r="A542" t="s">
        <v>40</v>
      </c>
      <c r="B542">
        <v>586</v>
      </c>
      <c r="C542">
        <v>122</v>
      </c>
    </row>
    <row r="543" spans="1:3" x14ac:dyDescent="0.2">
      <c r="A543" t="s">
        <v>41</v>
      </c>
      <c r="B543">
        <v>600</v>
      </c>
      <c r="C543">
        <v>108</v>
      </c>
    </row>
    <row r="544" spans="1:3" x14ac:dyDescent="0.2">
      <c r="A544" t="s">
        <v>36</v>
      </c>
      <c r="B544">
        <v>600</v>
      </c>
      <c r="C544">
        <v>112</v>
      </c>
    </row>
    <row r="545" spans="1:3" x14ac:dyDescent="0.2">
      <c r="A545" t="s">
        <v>37</v>
      </c>
      <c r="B545">
        <v>594</v>
      </c>
      <c r="C545">
        <v>114</v>
      </c>
    </row>
    <row r="546" spans="1:3" x14ac:dyDescent="0.2">
      <c r="A546" t="s">
        <v>38</v>
      </c>
      <c r="B546">
        <v>594</v>
      </c>
      <c r="C546">
        <v>114</v>
      </c>
    </row>
    <row r="547" spans="1:3" x14ac:dyDescent="0.2">
      <c r="A547" t="s">
        <v>39</v>
      </c>
      <c r="B547">
        <v>599</v>
      </c>
      <c r="C547">
        <v>109</v>
      </c>
    </row>
    <row r="548" spans="1:3" x14ac:dyDescent="0.2">
      <c r="A548" t="s">
        <v>40</v>
      </c>
      <c r="B548">
        <v>521</v>
      </c>
      <c r="C548">
        <v>187</v>
      </c>
    </row>
    <row r="549" spans="1:3" x14ac:dyDescent="0.2">
      <c r="A549" t="s">
        <v>41</v>
      </c>
      <c r="B549">
        <v>600</v>
      </c>
      <c r="C549">
        <v>108</v>
      </c>
    </row>
    <row r="550" spans="1:3" x14ac:dyDescent="0.2">
      <c r="A550" t="s">
        <v>36</v>
      </c>
      <c r="B550">
        <v>578</v>
      </c>
      <c r="C550">
        <v>130</v>
      </c>
    </row>
    <row r="551" spans="1:3" x14ac:dyDescent="0.2">
      <c r="A551" t="s">
        <v>37</v>
      </c>
      <c r="B551">
        <v>596</v>
      </c>
      <c r="C551">
        <v>112</v>
      </c>
    </row>
    <row r="552" spans="1:3" x14ac:dyDescent="0.2">
      <c r="A552" t="s">
        <v>38</v>
      </c>
      <c r="B552">
        <v>406</v>
      </c>
      <c r="C552">
        <v>302</v>
      </c>
    </row>
    <row r="553" spans="1:3" x14ac:dyDescent="0.2">
      <c r="A553" t="s">
        <v>39</v>
      </c>
      <c r="B553">
        <v>598</v>
      </c>
      <c r="C553">
        <v>110</v>
      </c>
    </row>
    <row r="554" spans="1:3" x14ac:dyDescent="0.2">
      <c r="A554" t="s">
        <v>40</v>
      </c>
      <c r="B554">
        <v>578</v>
      </c>
      <c r="C554">
        <v>130</v>
      </c>
    </row>
    <row r="555" spans="1:3" x14ac:dyDescent="0.2">
      <c r="A555" t="s">
        <v>41</v>
      </c>
      <c r="B555">
        <v>599</v>
      </c>
      <c r="C555">
        <v>113</v>
      </c>
    </row>
    <row r="556" spans="1:3" x14ac:dyDescent="0.2">
      <c r="A556" t="s">
        <v>36</v>
      </c>
      <c r="B556">
        <v>592</v>
      </c>
      <c r="C556">
        <v>116</v>
      </c>
    </row>
    <row r="557" spans="1:3" x14ac:dyDescent="0.2">
      <c r="A557" t="s">
        <v>37</v>
      </c>
      <c r="B557">
        <v>578</v>
      </c>
      <c r="C557">
        <v>130</v>
      </c>
    </row>
    <row r="558" spans="1:3" x14ac:dyDescent="0.2">
      <c r="A558" t="s">
        <v>38</v>
      </c>
      <c r="B558">
        <v>598</v>
      </c>
      <c r="C558">
        <v>110</v>
      </c>
    </row>
    <row r="559" spans="1:3" x14ac:dyDescent="0.2">
      <c r="A559" t="s">
        <v>39</v>
      </c>
      <c r="B559">
        <v>582</v>
      </c>
      <c r="C559">
        <v>126</v>
      </c>
    </row>
    <row r="560" spans="1:3" x14ac:dyDescent="0.2">
      <c r="A560" t="s">
        <v>40</v>
      </c>
      <c r="B560">
        <v>598</v>
      </c>
      <c r="C560">
        <v>110</v>
      </c>
    </row>
    <row r="561" spans="1:3" x14ac:dyDescent="0.2">
      <c r="A561" t="s">
        <v>41</v>
      </c>
      <c r="B561">
        <v>600</v>
      </c>
      <c r="C561">
        <v>112</v>
      </c>
    </row>
    <row r="562" spans="1:3" x14ac:dyDescent="0.2">
      <c r="A562" t="s">
        <v>36</v>
      </c>
      <c r="B562">
        <v>593</v>
      </c>
      <c r="C562">
        <v>115</v>
      </c>
    </row>
    <row r="563" spans="1:3" x14ac:dyDescent="0.2">
      <c r="A563" t="s">
        <v>37</v>
      </c>
      <c r="B563">
        <v>596</v>
      </c>
      <c r="C563">
        <v>112</v>
      </c>
    </row>
    <row r="564" spans="1:3" x14ac:dyDescent="0.2">
      <c r="A564" t="s">
        <v>38</v>
      </c>
      <c r="B564">
        <v>594</v>
      </c>
      <c r="C564">
        <v>118</v>
      </c>
    </row>
    <row r="565" spans="1:3" x14ac:dyDescent="0.2">
      <c r="A565" t="s">
        <v>39</v>
      </c>
      <c r="B565">
        <v>574</v>
      </c>
      <c r="C565">
        <v>134</v>
      </c>
    </row>
    <row r="566" spans="1:3" x14ac:dyDescent="0.2">
      <c r="A566" t="s">
        <v>40</v>
      </c>
      <c r="B566">
        <v>600</v>
      </c>
      <c r="C566">
        <v>108</v>
      </c>
    </row>
    <row r="567" spans="1:3" x14ac:dyDescent="0.2">
      <c r="A567" t="s">
        <v>41</v>
      </c>
      <c r="B567">
        <v>597</v>
      </c>
      <c r="C567">
        <v>111</v>
      </c>
    </row>
    <row r="568" spans="1:3" x14ac:dyDescent="0.2">
      <c r="A568" t="s">
        <v>36</v>
      </c>
      <c r="B568">
        <v>590</v>
      </c>
      <c r="C568">
        <v>118</v>
      </c>
    </row>
    <row r="569" spans="1:3" x14ac:dyDescent="0.2">
      <c r="A569" t="s">
        <v>37</v>
      </c>
      <c r="B569">
        <v>598</v>
      </c>
      <c r="C569">
        <v>110</v>
      </c>
    </row>
    <row r="570" spans="1:3" x14ac:dyDescent="0.2">
      <c r="A570" t="s">
        <v>38</v>
      </c>
      <c r="B570">
        <v>600</v>
      </c>
      <c r="C570">
        <v>108</v>
      </c>
    </row>
    <row r="571" spans="1:3" x14ac:dyDescent="0.2">
      <c r="A571" t="s">
        <v>39</v>
      </c>
      <c r="B571">
        <v>592</v>
      </c>
      <c r="C571">
        <v>116</v>
      </c>
    </row>
    <row r="572" spans="1:3" x14ac:dyDescent="0.2">
      <c r="A572" t="s">
        <v>40</v>
      </c>
      <c r="B572">
        <v>600</v>
      </c>
      <c r="C572">
        <v>112</v>
      </c>
    </row>
    <row r="573" spans="1:3" x14ac:dyDescent="0.2">
      <c r="A573" t="s">
        <v>41</v>
      </c>
      <c r="B573">
        <v>596</v>
      </c>
      <c r="C573">
        <v>112</v>
      </c>
    </row>
    <row r="574" spans="1:3" x14ac:dyDescent="0.2">
      <c r="A574" t="s">
        <v>36</v>
      </c>
      <c r="B574">
        <v>583</v>
      </c>
      <c r="C574">
        <v>125</v>
      </c>
    </row>
    <row r="575" spans="1:3" x14ac:dyDescent="0.2">
      <c r="A575" t="s">
        <v>37</v>
      </c>
      <c r="B575">
        <v>595</v>
      </c>
      <c r="C575">
        <v>113</v>
      </c>
    </row>
    <row r="576" spans="1:3" x14ac:dyDescent="0.2">
      <c r="A576" t="s">
        <v>38</v>
      </c>
      <c r="B576">
        <v>596</v>
      </c>
      <c r="C576">
        <v>116</v>
      </c>
    </row>
    <row r="577" spans="1:3" x14ac:dyDescent="0.2">
      <c r="A577" t="s">
        <v>39</v>
      </c>
      <c r="B577">
        <v>598</v>
      </c>
      <c r="C577">
        <v>110</v>
      </c>
    </row>
    <row r="578" spans="1:3" x14ac:dyDescent="0.2">
      <c r="A578" t="s">
        <v>40</v>
      </c>
      <c r="B578">
        <v>600</v>
      </c>
      <c r="C578">
        <v>108</v>
      </c>
    </row>
    <row r="579" spans="1:3" x14ac:dyDescent="0.2">
      <c r="A579" t="s">
        <v>41</v>
      </c>
      <c r="B579">
        <v>600</v>
      </c>
      <c r="C579">
        <v>108</v>
      </c>
    </row>
    <row r="580" spans="1:3" x14ac:dyDescent="0.2">
      <c r="A580" t="s">
        <v>36</v>
      </c>
      <c r="B580">
        <v>592</v>
      </c>
      <c r="C580">
        <v>116</v>
      </c>
    </row>
    <row r="581" spans="1:3" x14ac:dyDescent="0.2">
      <c r="A581" t="s">
        <v>37</v>
      </c>
      <c r="B581">
        <v>600</v>
      </c>
      <c r="C581">
        <v>108</v>
      </c>
    </row>
    <row r="582" spans="1:3" x14ac:dyDescent="0.2">
      <c r="A582" t="s">
        <v>38</v>
      </c>
      <c r="B582">
        <v>600</v>
      </c>
      <c r="C582">
        <v>108</v>
      </c>
    </row>
    <row r="583" spans="1:3" x14ac:dyDescent="0.2">
      <c r="A583" t="s">
        <v>39</v>
      </c>
      <c r="B583">
        <v>598</v>
      </c>
      <c r="C583">
        <v>110</v>
      </c>
    </row>
    <row r="584" spans="1:3" x14ac:dyDescent="0.2">
      <c r="A584" t="s">
        <v>40</v>
      </c>
      <c r="B584">
        <v>555</v>
      </c>
      <c r="C584">
        <v>153</v>
      </c>
    </row>
    <row r="585" spans="1:3" x14ac:dyDescent="0.2">
      <c r="A585" t="s">
        <v>41</v>
      </c>
      <c r="B585">
        <v>600</v>
      </c>
      <c r="C585">
        <v>112</v>
      </c>
    </row>
    <row r="586" spans="1:3" x14ac:dyDescent="0.2">
      <c r="A586" t="s">
        <v>36</v>
      </c>
      <c r="B586">
        <v>593</v>
      </c>
      <c r="C586">
        <v>115</v>
      </c>
    </row>
    <row r="587" spans="1:3" x14ac:dyDescent="0.2">
      <c r="A587" t="s">
        <v>37</v>
      </c>
      <c r="B587">
        <v>600</v>
      </c>
      <c r="C587">
        <v>108</v>
      </c>
    </row>
    <row r="588" spans="1:3" x14ac:dyDescent="0.2">
      <c r="A588" t="s">
        <v>38</v>
      </c>
      <c r="B588">
        <v>598</v>
      </c>
      <c r="C588">
        <v>110</v>
      </c>
    </row>
    <row r="589" spans="1:3" x14ac:dyDescent="0.2">
      <c r="A589" t="s">
        <v>39</v>
      </c>
      <c r="B589">
        <v>580</v>
      </c>
      <c r="C589">
        <v>128</v>
      </c>
    </row>
    <row r="590" spans="1:3" x14ac:dyDescent="0.2">
      <c r="A590" t="s">
        <v>40</v>
      </c>
      <c r="B590">
        <v>590</v>
      </c>
      <c r="C590">
        <v>122</v>
      </c>
    </row>
    <row r="591" spans="1:3" x14ac:dyDescent="0.2">
      <c r="A591" t="s">
        <v>41</v>
      </c>
      <c r="B591">
        <v>600</v>
      </c>
      <c r="C591">
        <v>108</v>
      </c>
    </row>
    <row r="592" spans="1:3" x14ac:dyDescent="0.2">
      <c r="A592" t="s">
        <v>36</v>
      </c>
      <c r="B592">
        <v>596</v>
      </c>
      <c r="C592">
        <v>112</v>
      </c>
    </row>
    <row r="593" spans="1:3" x14ac:dyDescent="0.2">
      <c r="A593" t="s">
        <v>37</v>
      </c>
      <c r="B593">
        <v>575</v>
      </c>
      <c r="C593">
        <v>133</v>
      </c>
    </row>
    <row r="594" spans="1:3" x14ac:dyDescent="0.2">
      <c r="A594" t="s">
        <v>38</v>
      </c>
      <c r="B594">
        <v>600</v>
      </c>
      <c r="C594">
        <v>108</v>
      </c>
    </row>
    <row r="595" spans="1:3" x14ac:dyDescent="0.2">
      <c r="A595" t="s">
        <v>39</v>
      </c>
      <c r="B595">
        <v>600</v>
      </c>
      <c r="C595">
        <v>108</v>
      </c>
    </row>
    <row r="596" spans="1:3" x14ac:dyDescent="0.2">
      <c r="A596" t="s">
        <v>40</v>
      </c>
      <c r="B596">
        <v>600</v>
      </c>
      <c r="C596">
        <v>112</v>
      </c>
    </row>
    <row r="597" spans="1:3" x14ac:dyDescent="0.2">
      <c r="A597" t="s">
        <v>41</v>
      </c>
      <c r="B597">
        <v>598</v>
      </c>
      <c r="C597">
        <v>110</v>
      </c>
    </row>
    <row r="598" spans="1:3" x14ac:dyDescent="0.2">
      <c r="A598" t="s">
        <v>36</v>
      </c>
      <c r="B598">
        <v>600</v>
      </c>
      <c r="C598">
        <v>112</v>
      </c>
    </row>
    <row r="599" spans="1:3" x14ac:dyDescent="0.2">
      <c r="A599" t="s">
        <v>37</v>
      </c>
      <c r="B599">
        <v>600</v>
      </c>
      <c r="C599">
        <v>108</v>
      </c>
    </row>
    <row r="600" spans="1:3" x14ac:dyDescent="0.2">
      <c r="A600" t="s">
        <v>38</v>
      </c>
      <c r="B600">
        <v>594</v>
      </c>
      <c r="C600">
        <v>114</v>
      </c>
    </row>
    <row r="601" spans="1:3" x14ac:dyDescent="0.2">
      <c r="A601" t="s">
        <v>39</v>
      </c>
      <c r="B601">
        <v>583</v>
      </c>
      <c r="C601">
        <v>125</v>
      </c>
    </row>
    <row r="602" spans="1:3" x14ac:dyDescent="0.2">
      <c r="A602" t="s">
        <v>40</v>
      </c>
      <c r="B602">
        <v>599</v>
      </c>
      <c r="C602">
        <v>109</v>
      </c>
    </row>
    <row r="603" spans="1:3" x14ac:dyDescent="0.2">
      <c r="A603" t="s">
        <v>41</v>
      </c>
      <c r="B603">
        <v>600</v>
      </c>
      <c r="C603">
        <v>108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stats_DesertRegion_uav6.txt3770</vt:lpstr>
      <vt:lpstr>cells-per-subpath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2023-03-04T01:18:37Z</dcterms:created>
  <dcterms:modified xsi:type="dcterms:W3CDTF">2023-03-04T11:23:38Z</dcterms:modified>
</cp:coreProperties>
</file>