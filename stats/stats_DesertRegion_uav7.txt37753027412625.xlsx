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503F34D6-463E-5A4F-8474-4348C246A772}" xr6:coauthVersionLast="47" xr6:coauthVersionMax="47" xr10:uidLastSave="{00000000-0000-0000-0000-000000000000}"/>
  <bookViews>
    <workbookView xWindow="3420" yWindow="3000" windowWidth="25380" windowHeight="13300" activeTab="1" xr2:uid="{00000000-000D-0000-FFFF-FFFF00000000}"/>
  </bookViews>
  <sheets>
    <sheet name="stats_DesertRegion_uav7.txt3775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2" i="2"/>
  <c r="F9" i="2"/>
  <c r="F3" i="2"/>
  <c r="F4" i="2"/>
  <c r="F5" i="2"/>
  <c r="F6" i="2"/>
  <c r="F7" i="2"/>
  <c r="F8" i="2"/>
  <c r="F2" i="2"/>
  <c r="G9" i="2" l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<sst xmlns="http://schemas.openxmlformats.org/spreadsheetml/2006/main" count="1143" uniqueCount="47">
  <si>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</si>
  <si>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</si>
  <si>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</si>
  <si>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</si>
  <si>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</si>
  <si>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</si>
  <si>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</si>
  <si>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</si>
  <si>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</si>
  <si>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</si>
  <si>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</si>
  <si>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</si>
  <si>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</si>
  <si>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</si>
  <si>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</si>
  <si>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</si>
  <si>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</si>
  <si>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</si>
  <si>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</si>
  <si>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</si>
  <si>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</si>
  <si>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</si>
  <si>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</si>
  <si>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</si>
  <si>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</si>
  <si>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</si>
  <si>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</si>
  <si>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</si>
  <si>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</si>
  <si>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</si>
  <si>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</si>
  <si>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</si>
  <si>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</si>
  <si>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</si>
  <si>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UAV 2</t>
  </si>
  <si>
    <t>UAV 3</t>
  </si>
  <si>
    <t>UAV 4</t>
  </si>
  <si>
    <t>UAV 5</t>
  </si>
  <si>
    <t>UAV 6</t>
  </si>
  <si>
    <t>UAV 7</t>
  </si>
  <si>
    <t>energy</t>
  </si>
  <si>
    <t>media</t>
  </si>
  <si>
    <t>1st</t>
  </si>
  <si>
    <t>last</t>
  </si>
  <si>
    <t>Colonna1</t>
  </si>
  <si>
    <t>Colonna2</t>
  </si>
  <si>
    <t>Colonna3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</si>
</sst>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0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3C3C0-9EE3-5242-A51F-49B18AED6477}" name="Tabella1" displayName="Tabella1" ref="A1:AC102" totalsRowCount="1">
  <autoFilter ref="A1:AC101" xr:uid="{1723C3C0-9EE3-5242-A51F-49B18AED6477}"/>
  <tableColumns count="29">
    <tableColumn id="1" xr3:uid="{127DF7C1-9F6E-5A4A-93A2-19BBBDC16A59}" name="macro_grid_resolution"/>
    <tableColumn id="2" xr3:uid="{32E776D4-6795-1042-83F2-6BC969C86D80}" name="micro_grid_resolution"/>
    <tableColumn id="3" xr3:uid="{1D49B24C-3526-DE47-8FF1-355E92078412}" name="micro_grid_dimension_cells"/>
    <tableColumn id="4" xr3:uid="{85555A2A-87D8-CF4C-ABB3-7768A15D9F46}" name="no_fly_zone_cells"/>
    <tableColumn id="5" xr3:uid="{9720C245-FB0B-DB40-B58F-B3BB8245E84C}" name="no_fly_zone_%_of_scenario_cells"/>
    <tableColumn id="6" xr3:uid="{CD3CEE3B-7E55-3F48-B651-ECB05E9454BC}" name="roi_dimension_cells"/>
    <tableColumn id="7" xr3:uid="{FC70A86C-59E7-2E41-B2AA-9496287A4DBF}" name="roi_dimension_%_of_scenario_cells"/>
    <tableColumn id="8" xr3:uid="{A58BFD1A-9C7D-C647-AB0A-6BAA6490C4D0}" name="roads_cells"/>
    <tableColumn id="9" xr3:uid="{669B5BDB-577E-754B-9511-A423326663B6}" name="roads_%_of_roi_cells"/>
    <tableColumn id="10" xr3:uid="{000CC107-C7D0-E346-ABB0-64BE064431B0}" name="starting_weather_conditions"/>
    <tableColumn id="11" xr3:uid="{DFBAC58E-3D6B-8342-A0AF-AE82E3D7D9BC}" name="starting_uavs_autonomy_cells"/>
    <tableColumn id="12" xr3:uid="{6F22FDB8-F4F5-1B45-9B2B-26BAC10231E5}" name="weather_forecasts"/>
    <tableColumn id="13" xr3:uid="{4561C0A4-63F9-F74D-80EB-939EE7252092}" name="max_number_of_uavs"/>
    <tableColumn id="14" xr3:uid="{926AC9A7-FBD5-B140-8B83-DFAB92457DE5}" name="number_of_bsss_used" totalsRowFunction="custom">
      <totalsRowFormula>AVERAGE(Tabella1[number_of_bsss_used])</totalsRowFormula>
    </tableColumn>
    <tableColumn id="15" xr3:uid="{A11A96DC-3B52-EF43-9E4E-BC137B43D800}" name="cumulative_energy_used_by_uavs" totalsRowFunction="custom">
      <totalsRowFormula>AVERAGE(Tabella1[cumulative_energy_used_by_uavs])</totalsRowFormula>
    </tableColumn>
    <tableColumn id="16" xr3:uid="{0EFAFFFD-A53F-064A-82D9-81D28B924FFE}" name="cumulative_energy_wasted_by_uavs" totalsRowFunction="custom">
      <totalsRowFormula>AVERAGE(Tabella1[cumulative_energy_wasted_by_uavs])</totalsRowFormula>
    </tableColumn>
    <tableColumn id="17" xr3:uid="{768412A7-2061-4F49-8A82-E990F09E9B22}" name="cumulative_number_of_batteries_used_by_uavs" totalsRowFunction="custom">
      <totalsRowFormula>AVERAGE(Tabella1[cumulative_number_of_batteries_used_by_uavs])</totalsRowFormula>
    </tableColumn>
    <tableColumn id="18" xr3:uid="{CA9AFA2D-D898-904A-9E0A-BC22306D3C43}" name="mission_time_seconds" totalsRowFunction="custom">
      <totalsRowFormula>AVERAGE(Tabella1[mission_time_seconds])</totalsRowFormula>
    </tableColumn>
    <tableColumn id="19" xr3:uid="{0FD2A48C-ECC0-DC43-84A9-C6B4812E61DB}" name="bsss_mission_time_seconds" totalsRowFunction="custom">
      <totalsRowFormula>AVERAGE(Tabella1[bsss_mission_time_seconds])</totalsRowFormula>
    </tableColumn>
    <tableColumn id="20" xr3:uid="{A6F40935-950C-3246-A1C3-FBC4CC24DB78}" name="cumulative_swap_time_seconds" totalsRowFunction="custom">
      <totalsRowFormula>AVERAGE(Tabella1[cumulative_swap_time_seconds])</totalsRowFormula>
    </tableColumn>
    <tableColumn id="21" xr3:uid="{38F9F3EF-D809-8D40-B5A8-E5B5692B5601}" name="darp_execution_time_seconds" totalsRowFunction="custom">
      <totalsRowFormula>AVERAGE(Tabella1[darp_execution_time_seconds])</totalsRowFormula>
    </tableColumn>
    <tableColumn id="22" xr3:uid="{1CCE0123-18B9-B44A-8CB7-578E85A51405}" name="stc_execution_time_seconds" totalsRowFunction="custom">
      <totalsRowFormula>AVERAGE(Tabella1[stc_execution_time_seconds])</totalsRowFormula>
    </tableColumn>
    <tableColumn id="23" xr3:uid="{1EB3A9C2-E841-1740-94E7-E7EE8CE9189F}" name="pp_uavs_execution_time_seconds" totalsRowFunction="custom">
      <totalsRowFormula>AVERAGE(Tabella1[pp_uavs_execution_time_seconds])</totalsRowFormula>
    </tableColumn>
    <tableColumn id="24" xr3:uid="{F6323325-1F1A-8B47-872B-A2AF696FF76B}" name="pp_bsss_execution_time_seconds" totalsRowFunction="custom">
      <totalsRowFormula>AVERAGE(Tabella1[pp_bsss_execution_time_seconds])</totalsRowFormula>
    </tableColumn>
    <tableColumn id="25" xr3:uid="{C192CC77-4DA7-344D-807D-23DD35DA82BF}" name="total_execution_time_seconds"/>
    <tableColumn id="26" xr3:uid="{B3B2DDA4-66D7-F045-A2B9-BA0240EE97F0}" name="darpfailures" totalsRowFunction="custom">
      <totalsRowFormula>AVERAGE(Tabella1[darpfailures])</totalsRowFormula>
    </tableColumn>
    <tableColumn id="27" xr3:uid="{0D5CA88A-0EC1-B146-AA16-521606AC3253}" name="ppbssfailures" totalsRowFunction="custom">
      <totalsRowFormula>AVERAGE(Tabella1[ppbssfailures])</totalsRowFormula>
    </tableColumn>
    <tableColumn id="28" xr3:uid="{1D6A110B-D064-D547-B1D3-95A5F14D415E}" name="ppuavfailures" totalsRowFunction="custom">
      <totalsRowFormula>AVERAGE(Tabella1[ppuavfailures])</totalsRowFormula>
    </tableColumn>
    <tableColumn id="29" xr3:uid="{EF52EB89-83CB-C543-9199-68AE62A14B8D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EBB8F-24EC-FB40-88CD-CD0E8270996E}" name="Tabella2" displayName="Tabella2" ref="A3:C703" totalsRowShown="0">
  <autoFilter ref="A3:C703" xr:uid="{6BBEBB8F-24EC-FB40-88CD-CD0E8270996E}"/>
  <sortState xmlns:xlrd2="http://schemas.microsoft.com/office/spreadsheetml/2017/richdata2" ref="A4:C703">
    <sortCondition ref="A3:A703"/>
  </sortState>
  <tableColumns count="3">
    <tableColumn id="1" xr3:uid="{5F696DFB-00E8-7747-B25C-A21BD939C3DF}" name="Colonna1"/>
    <tableColumn id="2" xr3:uid="{EEAE9FD9-2B60-AA4B-9425-16E187376274}" name="Colonna2"/>
    <tableColumn id="3" xr3:uid="{D4458778-0793-1945-ABBF-3A033A4CD62E}" name="Colon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U78" workbookViewId="0">
      <selection activeCell="X102" sqref="N102:X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7</v>
      </c>
      <c r="N2">
        <v>7</v>
      </c>
      <c r="O2">
        <v>4260</v>
      </c>
      <c r="P2">
        <v>8</v>
      </c>
      <c r="Q2">
        <v>14</v>
      </c>
      <c r="R2">
        <v>788</v>
      </c>
      <c r="S2">
        <v>37</v>
      </c>
      <c r="T2">
        <v>1260</v>
      </c>
      <c r="U2">
        <v>0.38484499999999999</v>
      </c>
      <c r="V2">
        <v>4.8177999999999999E-2</v>
      </c>
      <c r="W2">
        <v>3.3899999999999998E-3</v>
      </c>
      <c r="X2">
        <v>5.8820000000000001E-3</v>
      </c>
      <c r="Y2">
        <v>0.44234800000000002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7</v>
      </c>
      <c r="N3">
        <v>7</v>
      </c>
      <c r="O3">
        <v>4258</v>
      </c>
      <c r="P3">
        <v>6</v>
      </c>
      <c r="Q3">
        <v>14</v>
      </c>
      <c r="R3">
        <v>788</v>
      </c>
      <c r="S3">
        <v>37</v>
      </c>
      <c r="T3">
        <v>1260</v>
      </c>
      <c r="U3">
        <v>0.41385699999999997</v>
      </c>
      <c r="V3">
        <v>4.9681999999999997E-2</v>
      </c>
      <c r="W3">
        <v>3.4510000000000001E-3</v>
      </c>
      <c r="X3">
        <v>5.6800000000000002E-3</v>
      </c>
      <c r="Y3">
        <v>0.47272599999999998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7</v>
      </c>
      <c r="N4">
        <v>7</v>
      </c>
      <c r="O4">
        <v>4252</v>
      </c>
      <c r="P4">
        <v>0</v>
      </c>
      <c r="Q4">
        <v>14</v>
      </c>
      <c r="R4">
        <v>788</v>
      </c>
      <c r="S4">
        <v>10</v>
      </c>
      <c r="T4">
        <v>1260</v>
      </c>
      <c r="U4">
        <v>0.55664800000000003</v>
      </c>
      <c r="V4">
        <v>5.0096000000000002E-2</v>
      </c>
      <c r="W4">
        <v>3.5010000000000002E-3</v>
      </c>
      <c r="X4">
        <v>2.5799999999999998E-4</v>
      </c>
      <c r="Y4">
        <v>0.61055400000000004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7</v>
      </c>
      <c r="N5">
        <v>7</v>
      </c>
      <c r="O5">
        <v>4252</v>
      </c>
      <c r="P5">
        <v>0</v>
      </c>
      <c r="Q5">
        <v>14</v>
      </c>
      <c r="R5">
        <v>788</v>
      </c>
      <c r="S5">
        <v>9</v>
      </c>
      <c r="T5">
        <v>1260</v>
      </c>
      <c r="U5">
        <v>0.51465899999999998</v>
      </c>
      <c r="V5">
        <v>4.9195999999999997E-2</v>
      </c>
      <c r="W5">
        <v>3.4280000000000001E-3</v>
      </c>
      <c r="X5">
        <v>2.5399999999999999E-4</v>
      </c>
      <c r="Y5">
        <v>0.56759099999999996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7</v>
      </c>
      <c r="N6">
        <v>7</v>
      </c>
      <c r="O6">
        <v>4252</v>
      </c>
      <c r="P6">
        <v>0</v>
      </c>
      <c r="Q6">
        <v>14</v>
      </c>
      <c r="R6">
        <v>788</v>
      </c>
      <c r="S6">
        <v>9</v>
      </c>
      <c r="T6">
        <v>1260</v>
      </c>
      <c r="U6">
        <v>0.54297200000000001</v>
      </c>
      <c r="V6">
        <v>5.1646999999999998E-2</v>
      </c>
      <c r="W6">
        <v>3.4350000000000001E-3</v>
      </c>
      <c r="X6">
        <v>2.6899999999999998E-4</v>
      </c>
      <c r="Y6">
        <v>0.59838000000000002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7</v>
      </c>
      <c r="N7">
        <v>7</v>
      </c>
      <c r="O7">
        <v>4266</v>
      </c>
      <c r="P7">
        <v>14</v>
      </c>
      <c r="Q7">
        <v>14</v>
      </c>
      <c r="R7">
        <v>788</v>
      </c>
      <c r="S7">
        <v>37</v>
      </c>
      <c r="T7">
        <v>1260</v>
      </c>
      <c r="U7">
        <v>0.591889</v>
      </c>
      <c r="V7">
        <v>4.9362999999999997E-2</v>
      </c>
      <c r="W7">
        <v>3.411E-3</v>
      </c>
      <c r="X7">
        <v>5.2030000000000002E-3</v>
      </c>
      <c r="Y7">
        <v>0.649918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7</v>
      </c>
      <c r="N8">
        <v>7</v>
      </c>
      <c r="O8">
        <v>4252</v>
      </c>
      <c r="P8">
        <v>0</v>
      </c>
      <c r="Q8">
        <v>14</v>
      </c>
      <c r="R8">
        <v>788</v>
      </c>
      <c r="S8">
        <v>10</v>
      </c>
      <c r="T8">
        <v>1260</v>
      </c>
      <c r="U8">
        <v>0.54636899999999999</v>
      </c>
      <c r="V8">
        <v>4.9243000000000002E-2</v>
      </c>
      <c r="W8">
        <v>3.359E-3</v>
      </c>
      <c r="X8">
        <v>2.6899999999999998E-4</v>
      </c>
      <c r="Y8">
        <v>0.59929200000000005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7</v>
      </c>
      <c r="N9">
        <v>7</v>
      </c>
      <c r="O9">
        <v>4266</v>
      </c>
      <c r="P9">
        <v>14</v>
      </c>
      <c r="Q9">
        <v>14</v>
      </c>
      <c r="R9">
        <v>788</v>
      </c>
      <c r="S9">
        <v>39</v>
      </c>
      <c r="T9">
        <v>1260</v>
      </c>
      <c r="U9">
        <v>0.86256999999999995</v>
      </c>
      <c r="V9">
        <v>4.7906999999999998E-2</v>
      </c>
      <c r="W9">
        <v>3.277E-3</v>
      </c>
      <c r="X9">
        <v>5.2059999999999997E-3</v>
      </c>
      <c r="Y9">
        <v>0.91902600000000001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7</v>
      </c>
      <c r="N10">
        <v>7</v>
      </c>
      <c r="O10">
        <v>4252</v>
      </c>
      <c r="P10">
        <v>0</v>
      </c>
      <c r="Q10">
        <v>14</v>
      </c>
      <c r="R10">
        <v>788</v>
      </c>
      <c r="S10">
        <v>9</v>
      </c>
      <c r="T10">
        <v>1260</v>
      </c>
      <c r="U10">
        <v>0.55922499999999997</v>
      </c>
      <c r="V10">
        <v>4.8340000000000001E-2</v>
      </c>
      <c r="W10">
        <v>3.434E-3</v>
      </c>
      <c r="X10">
        <v>1.276E-3</v>
      </c>
      <c r="Y10">
        <v>0.61233099999999996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7</v>
      </c>
      <c r="N11">
        <v>7</v>
      </c>
      <c r="O11">
        <v>4262</v>
      </c>
      <c r="P11">
        <v>10</v>
      </c>
      <c r="Q11">
        <v>14</v>
      </c>
      <c r="R11">
        <v>788</v>
      </c>
      <c r="S11">
        <v>43</v>
      </c>
      <c r="T11">
        <v>1260</v>
      </c>
      <c r="U11">
        <v>0.49184699999999998</v>
      </c>
      <c r="V11">
        <v>4.8064000000000003E-2</v>
      </c>
      <c r="W11">
        <v>3.4069999999999999E-3</v>
      </c>
      <c r="X11">
        <v>5.9800000000000001E-3</v>
      </c>
      <c r="Y11">
        <v>0.54934899999999998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7</v>
      </c>
      <c r="N12">
        <v>7</v>
      </c>
      <c r="O12">
        <v>4252</v>
      </c>
      <c r="P12">
        <v>0</v>
      </c>
      <c r="Q12">
        <v>14</v>
      </c>
      <c r="R12">
        <v>788</v>
      </c>
      <c r="S12">
        <v>10</v>
      </c>
      <c r="T12">
        <v>1260</v>
      </c>
      <c r="U12">
        <v>0.47465099999999999</v>
      </c>
      <c r="V12">
        <v>4.7934999999999998E-2</v>
      </c>
      <c r="W12">
        <v>3.2499999999999999E-3</v>
      </c>
      <c r="X12">
        <v>3.01E-4</v>
      </c>
      <c r="Y12">
        <v>0.52619000000000005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7</v>
      </c>
      <c r="N13">
        <v>7</v>
      </c>
      <c r="O13">
        <v>4264</v>
      </c>
      <c r="P13">
        <v>12</v>
      </c>
      <c r="Q13">
        <v>14</v>
      </c>
      <c r="R13">
        <v>788</v>
      </c>
      <c r="S13">
        <v>43</v>
      </c>
      <c r="T13">
        <v>1260</v>
      </c>
      <c r="U13">
        <v>0.64480700000000002</v>
      </c>
      <c r="V13">
        <v>5.0126999999999998E-2</v>
      </c>
      <c r="W13">
        <v>3.3040000000000001E-3</v>
      </c>
      <c r="X13">
        <v>5.7039999999999999E-3</v>
      </c>
      <c r="Y13">
        <v>0.70400099999999999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7</v>
      </c>
      <c r="N14">
        <v>7</v>
      </c>
      <c r="O14">
        <v>4252</v>
      </c>
      <c r="P14">
        <v>0</v>
      </c>
      <c r="Q14">
        <v>14</v>
      </c>
      <c r="R14">
        <v>788</v>
      </c>
      <c r="S14">
        <v>9</v>
      </c>
      <c r="T14">
        <v>1260</v>
      </c>
      <c r="U14">
        <v>0.56012700000000004</v>
      </c>
      <c r="V14">
        <v>4.9653000000000003E-2</v>
      </c>
      <c r="W14">
        <v>3.2880000000000001E-3</v>
      </c>
      <c r="X14">
        <v>2.5300000000000002E-4</v>
      </c>
      <c r="Y14">
        <v>0.613375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7</v>
      </c>
      <c r="N15">
        <v>7</v>
      </c>
      <c r="O15">
        <v>4252</v>
      </c>
      <c r="P15">
        <v>0</v>
      </c>
      <c r="Q15">
        <v>14</v>
      </c>
      <c r="R15">
        <v>788</v>
      </c>
      <c r="S15">
        <v>9</v>
      </c>
      <c r="T15">
        <v>1260</v>
      </c>
      <c r="U15">
        <v>0.50002100000000005</v>
      </c>
      <c r="V15">
        <v>4.9914E-2</v>
      </c>
      <c r="W15">
        <v>3.2850000000000002E-3</v>
      </c>
      <c r="X15">
        <v>2.6200000000000003E-4</v>
      </c>
      <c r="Y15">
        <v>0.55354099999999995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7</v>
      </c>
      <c r="N16">
        <v>7</v>
      </c>
      <c r="O16">
        <v>4252</v>
      </c>
      <c r="P16">
        <v>0</v>
      </c>
      <c r="Q16">
        <v>14</v>
      </c>
      <c r="R16">
        <v>788</v>
      </c>
      <c r="S16">
        <v>12</v>
      </c>
      <c r="T16">
        <v>1260</v>
      </c>
      <c r="U16">
        <v>0.55403199999999997</v>
      </c>
      <c r="V16">
        <v>4.8552999999999999E-2</v>
      </c>
      <c r="W16">
        <v>3.473E-3</v>
      </c>
      <c r="X16">
        <v>2.8699999999999998E-4</v>
      </c>
      <c r="Y16">
        <v>0.60640300000000003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7</v>
      </c>
      <c r="N17">
        <v>7</v>
      </c>
      <c r="O17">
        <v>4258</v>
      </c>
      <c r="P17">
        <v>6</v>
      </c>
      <c r="Q17">
        <v>14</v>
      </c>
      <c r="R17">
        <v>788</v>
      </c>
      <c r="S17">
        <v>37</v>
      </c>
      <c r="T17">
        <v>1260</v>
      </c>
      <c r="U17">
        <v>0.41310000000000002</v>
      </c>
      <c r="V17">
        <v>4.8517999999999999E-2</v>
      </c>
      <c r="W17">
        <v>3.418E-3</v>
      </c>
      <c r="X17">
        <v>5.5929999999999999E-3</v>
      </c>
      <c r="Y17">
        <v>0.47068500000000002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7</v>
      </c>
      <c r="N18">
        <v>7</v>
      </c>
      <c r="O18">
        <v>4258</v>
      </c>
      <c r="P18">
        <v>6</v>
      </c>
      <c r="Q18">
        <v>14</v>
      </c>
      <c r="R18">
        <v>788</v>
      </c>
      <c r="S18">
        <v>35</v>
      </c>
      <c r="T18">
        <v>1260</v>
      </c>
      <c r="U18">
        <v>0.43825599999999998</v>
      </c>
      <c r="V18">
        <v>4.8459000000000002E-2</v>
      </c>
      <c r="W18">
        <v>3.5400000000000002E-3</v>
      </c>
      <c r="X18">
        <v>5.3550000000000004E-3</v>
      </c>
      <c r="Y18">
        <v>0.495674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7</v>
      </c>
      <c r="N19">
        <v>7</v>
      </c>
      <c r="O19">
        <v>4268</v>
      </c>
      <c r="P19">
        <v>16</v>
      </c>
      <c r="Q19">
        <v>14</v>
      </c>
      <c r="R19">
        <v>788</v>
      </c>
      <c r="S19">
        <v>35</v>
      </c>
      <c r="T19">
        <v>1260</v>
      </c>
      <c r="U19">
        <v>0.46086899999999997</v>
      </c>
      <c r="V19">
        <v>4.9607999999999999E-2</v>
      </c>
      <c r="W19">
        <v>3.4329999999999999E-3</v>
      </c>
      <c r="X19">
        <v>4.9259999999999998E-3</v>
      </c>
      <c r="Y19">
        <v>0.51889099999999999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7</v>
      </c>
      <c r="N20">
        <v>7</v>
      </c>
      <c r="O20">
        <v>4260</v>
      </c>
      <c r="P20">
        <v>8</v>
      </c>
      <c r="Q20">
        <v>14</v>
      </c>
      <c r="R20">
        <v>788</v>
      </c>
      <c r="S20">
        <v>37</v>
      </c>
      <c r="T20">
        <v>1260</v>
      </c>
      <c r="U20">
        <v>0.59656200000000004</v>
      </c>
      <c r="V20">
        <v>4.9661999999999998E-2</v>
      </c>
      <c r="W20">
        <v>3.31E-3</v>
      </c>
      <c r="X20">
        <v>5.8830000000000002E-3</v>
      </c>
      <c r="Y20">
        <v>0.65547800000000001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7</v>
      </c>
      <c r="N21">
        <v>7</v>
      </c>
      <c r="O21">
        <v>4252</v>
      </c>
      <c r="P21">
        <v>0</v>
      </c>
      <c r="Q21">
        <v>14</v>
      </c>
      <c r="R21">
        <v>788</v>
      </c>
      <c r="S21">
        <v>9</v>
      </c>
      <c r="T21">
        <v>1260</v>
      </c>
      <c r="U21">
        <v>0.52215699999999998</v>
      </c>
      <c r="V21">
        <v>4.9355999999999997E-2</v>
      </c>
      <c r="W21">
        <v>3.3649999999999999E-3</v>
      </c>
      <c r="X21">
        <v>2.7799999999999998E-4</v>
      </c>
      <c r="Y21">
        <v>0.57521500000000003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7</v>
      </c>
      <c r="N22">
        <v>7</v>
      </c>
      <c r="O22">
        <v>4264</v>
      </c>
      <c r="P22">
        <v>12</v>
      </c>
      <c r="Q22">
        <v>14</v>
      </c>
      <c r="R22">
        <v>788</v>
      </c>
      <c r="S22">
        <v>43</v>
      </c>
      <c r="T22">
        <v>1260</v>
      </c>
      <c r="U22">
        <v>0.44129299999999999</v>
      </c>
      <c r="V22">
        <v>5.0665000000000002E-2</v>
      </c>
      <c r="W22">
        <v>3.4099999999999998E-3</v>
      </c>
      <c r="X22">
        <v>5.9239999999999996E-3</v>
      </c>
      <c r="Y22">
        <v>0.501363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7</v>
      </c>
      <c r="N23">
        <v>7</v>
      </c>
      <c r="O23">
        <v>4258</v>
      </c>
      <c r="P23">
        <v>6</v>
      </c>
      <c r="Q23">
        <v>14</v>
      </c>
      <c r="R23">
        <v>788</v>
      </c>
      <c r="S23">
        <v>37</v>
      </c>
      <c r="T23">
        <v>1260</v>
      </c>
      <c r="U23">
        <v>0.44251400000000002</v>
      </c>
      <c r="V23">
        <v>4.9422000000000001E-2</v>
      </c>
      <c r="W23">
        <v>3.3519999999999999E-3</v>
      </c>
      <c r="X23">
        <v>6.0480000000000004E-3</v>
      </c>
      <c r="Y23">
        <v>0.50139400000000001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7</v>
      </c>
      <c r="N24">
        <v>7</v>
      </c>
      <c r="O24">
        <v>4252</v>
      </c>
      <c r="P24">
        <v>0</v>
      </c>
      <c r="Q24">
        <v>14</v>
      </c>
      <c r="R24">
        <v>788</v>
      </c>
      <c r="S24">
        <v>9</v>
      </c>
      <c r="T24">
        <v>1260</v>
      </c>
      <c r="U24">
        <v>0.68225800000000003</v>
      </c>
      <c r="V24">
        <v>4.9298000000000002E-2</v>
      </c>
      <c r="W24">
        <v>3.418E-3</v>
      </c>
      <c r="X24">
        <v>2.5399999999999999E-4</v>
      </c>
      <c r="Y24">
        <v>0.73528199999999999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7</v>
      </c>
      <c r="N25">
        <v>7</v>
      </c>
      <c r="O25">
        <v>4258</v>
      </c>
      <c r="P25">
        <v>6</v>
      </c>
      <c r="Q25">
        <v>14</v>
      </c>
      <c r="R25">
        <v>788</v>
      </c>
      <c r="S25">
        <v>37</v>
      </c>
      <c r="T25">
        <v>1260</v>
      </c>
      <c r="U25">
        <v>0.40279100000000001</v>
      </c>
      <c r="V25">
        <v>4.9593999999999999E-2</v>
      </c>
      <c r="W25">
        <v>3.5469999999999998E-3</v>
      </c>
      <c r="X25">
        <v>6.9490000000000003E-3</v>
      </c>
      <c r="Y25">
        <v>0.46294400000000002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7</v>
      </c>
      <c r="N26">
        <v>7</v>
      </c>
      <c r="O26">
        <v>4252</v>
      </c>
      <c r="P26">
        <v>0</v>
      </c>
      <c r="Q26">
        <v>14</v>
      </c>
      <c r="R26">
        <v>788</v>
      </c>
      <c r="S26">
        <v>10</v>
      </c>
      <c r="T26">
        <v>1260</v>
      </c>
      <c r="U26">
        <v>0.53502300000000003</v>
      </c>
      <c r="V26">
        <v>5.0820999999999998E-2</v>
      </c>
      <c r="W26">
        <v>3.2989999999999998E-3</v>
      </c>
      <c r="X26">
        <v>2.7E-4</v>
      </c>
      <c r="Y26">
        <v>0.58947099999999997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7</v>
      </c>
      <c r="N27">
        <v>7</v>
      </c>
      <c r="O27">
        <v>4252</v>
      </c>
      <c r="P27">
        <v>0</v>
      </c>
      <c r="Q27">
        <v>14</v>
      </c>
      <c r="R27">
        <v>788</v>
      </c>
      <c r="S27">
        <v>9</v>
      </c>
      <c r="T27">
        <v>1260</v>
      </c>
      <c r="U27">
        <v>0.65309700000000004</v>
      </c>
      <c r="V27">
        <v>5.0019000000000001E-2</v>
      </c>
      <c r="W27">
        <v>3.5890000000000002E-3</v>
      </c>
      <c r="X27">
        <v>2.52E-4</v>
      </c>
      <c r="Y27">
        <v>0.70701599999999998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7</v>
      </c>
      <c r="N28">
        <v>7</v>
      </c>
      <c r="O28">
        <v>4262</v>
      </c>
      <c r="P28">
        <v>10</v>
      </c>
      <c r="Q28">
        <v>14</v>
      </c>
      <c r="R28">
        <v>788</v>
      </c>
      <c r="S28">
        <v>43</v>
      </c>
      <c r="T28">
        <v>1260</v>
      </c>
      <c r="U28">
        <v>0.459673</v>
      </c>
      <c r="V28">
        <v>5.0743000000000003E-2</v>
      </c>
      <c r="W28">
        <v>3.3219999999999999E-3</v>
      </c>
      <c r="X28">
        <v>6.1050000000000002E-3</v>
      </c>
      <c r="Y28">
        <v>0.51990099999999995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7</v>
      </c>
      <c r="N29">
        <v>7</v>
      </c>
      <c r="O29">
        <v>4252</v>
      </c>
      <c r="P29">
        <v>0</v>
      </c>
      <c r="Q29">
        <v>14</v>
      </c>
      <c r="R29">
        <v>788</v>
      </c>
      <c r="S29">
        <v>9</v>
      </c>
      <c r="T29">
        <v>1260</v>
      </c>
      <c r="U29">
        <v>0.55049400000000004</v>
      </c>
      <c r="V29">
        <v>5.0327999999999998E-2</v>
      </c>
      <c r="W29">
        <v>3.4269999999999999E-3</v>
      </c>
      <c r="X29">
        <v>2.6699999999999998E-4</v>
      </c>
      <c r="Y29">
        <v>0.604572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7</v>
      </c>
      <c r="N30">
        <v>7</v>
      </c>
      <c r="O30">
        <v>4258</v>
      </c>
      <c r="P30">
        <v>6</v>
      </c>
      <c r="Q30">
        <v>14</v>
      </c>
      <c r="R30">
        <v>788</v>
      </c>
      <c r="S30">
        <v>37</v>
      </c>
      <c r="T30">
        <v>1260</v>
      </c>
      <c r="U30">
        <v>0.39486700000000002</v>
      </c>
      <c r="V30">
        <v>4.9294999999999999E-2</v>
      </c>
      <c r="W30">
        <v>3.4640000000000001E-3</v>
      </c>
      <c r="X30">
        <v>6.0819999999999997E-3</v>
      </c>
      <c r="Y30">
        <v>0.45377899999999999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7</v>
      </c>
      <c r="N31">
        <v>7</v>
      </c>
      <c r="O31">
        <v>4258</v>
      </c>
      <c r="P31">
        <v>6</v>
      </c>
      <c r="Q31">
        <v>14</v>
      </c>
      <c r="R31">
        <v>788</v>
      </c>
      <c r="S31">
        <v>35</v>
      </c>
      <c r="T31">
        <v>1260</v>
      </c>
      <c r="U31">
        <v>0.487599</v>
      </c>
      <c r="V31">
        <v>4.9376000000000003E-2</v>
      </c>
      <c r="W31">
        <v>3.4009999999999999E-3</v>
      </c>
      <c r="X31">
        <v>5.718E-3</v>
      </c>
      <c r="Y31">
        <v>0.546153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7</v>
      </c>
      <c r="N32">
        <v>7</v>
      </c>
      <c r="O32">
        <v>4264</v>
      </c>
      <c r="P32">
        <v>12</v>
      </c>
      <c r="Q32">
        <v>14</v>
      </c>
      <c r="R32">
        <v>788</v>
      </c>
      <c r="S32">
        <v>37</v>
      </c>
      <c r="T32">
        <v>1260</v>
      </c>
      <c r="U32">
        <v>0.62614599999999998</v>
      </c>
      <c r="V32">
        <v>5.1200000000000002E-2</v>
      </c>
      <c r="W32">
        <v>3.4120000000000001E-3</v>
      </c>
      <c r="X32">
        <v>9.8740000000000008E-3</v>
      </c>
      <c r="Y32">
        <v>0.69069400000000003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7</v>
      </c>
      <c r="N33">
        <v>7</v>
      </c>
      <c r="O33">
        <v>4252</v>
      </c>
      <c r="P33">
        <v>0</v>
      </c>
      <c r="Q33">
        <v>14</v>
      </c>
      <c r="R33">
        <v>788</v>
      </c>
      <c r="S33">
        <v>10</v>
      </c>
      <c r="T33">
        <v>1260</v>
      </c>
      <c r="U33">
        <v>0.47090100000000001</v>
      </c>
      <c r="V33">
        <v>4.9660999999999997E-2</v>
      </c>
      <c r="W33">
        <v>3.3149999999999998E-3</v>
      </c>
      <c r="X33">
        <v>2.61E-4</v>
      </c>
      <c r="Y33">
        <v>0.524204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7</v>
      </c>
      <c r="N34">
        <v>7</v>
      </c>
      <c r="O34">
        <v>4252</v>
      </c>
      <c r="P34">
        <v>0</v>
      </c>
      <c r="Q34">
        <v>14</v>
      </c>
      <c r="R34">
        <v>788</v>
      </c>
      <c r="S34">
        <v>10</v>
      </c>
      <c r="T34">
        <v>1260</v>
      </c>
      <c r="U34">
        <v>0.53626600000000002</v>
      </c>
      <c r="V34">
        <v>4.9012E-2</v>
      </c>
      <c r="W34">
        <v>3.4390000000000002E-3</v>
      </c>
      <c r="X34">
        <v>2.6600000000000001E-4</v>
      </c>
      <c r="Y34">
        <v>0.58903700000000003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7</v>
      </c>
      <c r="N35">
        <v>7</v>
      </c>
      <c r="O35">
        <v>4264</v>
      </c>
      <c r="P35">
        <v>12</v>
      </c>
      <c r="Q35">
        <v>14</v>
      </c>
      <c r="R35">
        <v>788</v>
      </c>
      <c r="S35">
        <v>37</v>
      </c>
      <c r="T35">
        <v>1260</v>
      </c>
      <c r="U35">
        <v>0.36779600000000001</v>
      </c>
      <c r="V35">
        <v>5.0590000000000003E-2</v>
      </c>
      <c r="W35">
        <v>3.4550000000000002E-3</v>
      </c>
      <c r="X35">
        <v>9.5709999999999996E-3</v>
      </c>
      <c r="Y35">
        <v>0.43147200000000002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7</v>
      </c>
      <c r="N36">
        <v>7</v>
      </c>
      <c r="O36">
        <v>4252</v>
      </c>
      <c r="P36">
        <v>0</v>
      </c>
      <c r="Q36">
        <v>14</v>
      </c>
      <c r="R36">
        <v>788</v>
      </c>
      <c r="S36">
        <v>9</v>
      </c>
      <c r="T36">
        <v>1260</v>
      </c>
      <c r="U36">
        <v>0.49169200000000002</v>
      </c>
      <c r="V36">
        <v>4.9612999999999997E-2</v>
      </c>
      <c r="W36">
        <v>3.4780000000000002E-3</v>
      </c>
      <c r="X36">
        <v>2.61E-4</v>
      </c>
      <c r="Y36">
        <v>0.54510199999999998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7</v>
      </c>
      <c r="N37">
        <v>7</v>
      </c>
      <c r="O37">
        <v>4252</v>
      </c>
      <c r="P37">
        <v>0</v>
      </c>
      <c r="Q37">
        <v>14</v>
      </c>
      <c r="R37">
        <v>788</v>
      </c>
      <c r="S37">
        <v>10</v>
      </c>
      <c r="T37">
        <v>1260</v>
      </c>
      <c r="U37">
        <v>0.86612999999999996</v>
      </c>
      <c r="V37">
        <v>5.0949000000000001E-2</v>
      </c>
      <c r="W37">
        <v>3.5620000000000001E-3</v>
      </c>
      <c r="X37">
        <v>2.8299999999999999E-4</v>
      </c>
      <c r="Y37">
        <v>0.920983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7</v>
      </c>
      <c r="N38">
        <v>7</v>
      </c>
      <c r="O38">
        <v>4252</v>
      </c>
      <c r="P38">
        <v>0</v>
      </c>
      <c r="Q38">
        <v>14</v>
      </c>
      <c r="R38">
        <v>788</v>
      </c>
      <c r="S38">
        <v>9</v>
      </c>
      <c r="T38">
        <v>1260</v>
      </c>
      <c r="U38">
        <v>0.49621100000000001</v>
      </c>
      <c r="V38">
        <v>5.0212E-2</v>
      </c>
      <c r="W38">
        <v>3.3409999999999998E-3</v>
      </c>
      <c r="X38">
        <v>2.5300000000000002E-4</v>
      </c>
      <c r="Y38">
        <v>0.55007700000000004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7</v>
      </c>
      <c r="N39">
        <v>7</v>
      </c>
      <c r="O39">
        <v>4252</v>
      </c>
      <c r="P39">
        <v>0</v>
      </c>
      <c r="Q39">
        <v>14</v>
      </c>
      <c r="R39">
        <v>788</v>
      </c>
      <c r="S39">
        <v>10</v>
      </c>
      <c r="T39">
        <v>1260</v>
      </c>
      <c r="U39">
        <v>0.51536800000000005</v>
      </c>
      <c r="V39">
        <v>5.0285999999999997E-2</v>
      </c>
      <c r="W39">
        <v>3.4740000000000001E-3</v>
      </c>
      <c r="X39">
        <v>2.7500000000000002E-4</v>
      </c>
      <c r="Y39">
        <v>0.56945999999999997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7</v>
      </c>
      <c r="N40">
        <v>7</v>
      </c>
      <c r="O40">
        <v>4252</v>
      </c>
      <c r="P40">
        <v>0</v>
      </c>
      <c r="Q40">
        <v>14</v>
      </c>
      <c r="R40">
        <v>788</v>
      </c>
      <c r="S40">
        <v>9</v>
      </c>
      <c r="T40">
        <v>1260</v>
      </c>
      <c r="U40">
        <v>0.70191700000000001</v>
      </c>
      <c r="V40">
        <v>4.9238999999999998E-2</v>
      </c>
      <c r="W40">
        <v>3.349E-3</v>
      </c>
      <c r="X40">
        <v>2.61E-4</v>
      </c>
      <c r="Y40">
        <v>0.75482300000000002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7</v>
      </c>
      <c r="N41">
        <v>7</v>
      </c>
      <c r="O41">
        <v>4252</v>
      </c>
      <c r="P41">
        <v>0</v>
      </c>
      <c r="Q41">
        <v>14</v>
      </c>
      <c r="R41">
        <v>788</v>
      </c>
      <c r="S41">
        <v>9</v>
      </c>
      <c r="T41">
        <v>1260</v>
      </c>
      <c r="U41">
        <v>0.707874</v>
      </c>
      <c r="V41">
        <v>4.8924000000000002E-2</v>
      </c>
      <c r="W41">
        <v>3.5119999999999999E-3</v>
      </c>
      <c r="X41">
        <v>2.7099999999999997E-4</v>
      </c>
      <c r="Y41">
        <v>0.76063700000000001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7</v>
      </c>
      <c r="N42">
        <v>7</v>
      </c>
      <c r="O42">
        <v>4258</v>
      </c>
      <c r="P42">
        <v>6</v>
      </c>
      <c r="Q42">
        <v>14</v>
      </c>
      <c r="R42">
        <v>788</v>
      </c>
      <c r="S42">
        <v>35</v>
      </c>
      <c r="T42">
        <v>1260</v>
      </c>
      <c r="U42">
        <v>0.48703000000000002</v>
      </c>
      <c r="V42">
        <v>4.9050999999999997E-2</v>
      </c>
      <c r="W42">
        <v>3.4099999999999998E-3</v>
      </c>
      <c r="X42">
        <v>5.836E-3</v>
      </c>
      <c r="Y42">
        <v>0.54538500000000001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7</v>
      </c>
      <c r="N43">
        <v>7</v>
      </c>
      <c r="O43">
        <v>4252</v>
      </c>
      <c r="P43">
        <v>0</v>
      </c>
      <c r="Q43">
        <v>14</v>
      </c>
      <c r="R43">
        <v>788</v>
      </c>
      <c r="S43">
        <v>9</v>
      </c>
      <c r="T43">
        <v>1260</v>
      </c>
      <c r="U43">
        <v>0.41703299999999999</v>
      </c>
      <c r="V43">
        <v>4.9838E-2</v>
      </c>
      <c r="W43">
        <v>3.333E-3</v>
      </c>
      <c r="X43">
        <v>2.5900000000000001E-4</v>
      </c>
      <c r="Y43">
        <v>0.47052100000000002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7</v>
      </c>
      <c r="N44">
        <v>7</v>
      </c>
      <c r="O44">
        <v>4264</v>
      </c>
      <c r="P44">
        <v>12</v>
      </c>
      <c r="Q44">
        <v>14</v>
      </c>
      <c r="R44">
        <v>788</v>
      </c>
      <c r="S44">
        <v>35</v>
      </c>
      <c r="T44">
        <v>1260</v>
      </c>
      <c r="U44">
        <v>0.491811</v>
      </c>
      <c r="V44">
        <v>4.9873000000000001E-2</v>
      </c>
      <c r="W44">
        <v>3.3630000000000001E-3</v>
      </c>
      <c r="X44">
        <v>5.4190000000000002E-3</v>
      </c>
      <c r="Y44">
        <v>0.55052500000000004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7</v>
      </c>
      <c r="N45">
        <v>7</v>
      </c>
      <c r="O45">
        <v>4252</v>
      </c>
      <c r="P45">
        <v>0</v>
      </c>
      <c r="Q45">
        <v>14</v>
      </c>
      <c r="R45">
        <v>788</v>
      </c>
      <c r="S45">
        <v>9</v>
      </c>
      <c r="T45">
        <v>1260</v>
      </c>
      <c r="U45">
        <v>0.52917499999999995</v>
      </c>
      <c r="V45">
        <v>4.9589000000000001E-2</v>
      </c>
      <c r="W45">
        <v>3.3579999999999999E-3</v>
      </c>
      <c r="X45">
        <v>2.5500000000000002E-4</v>
      </c>
      <c r="Y45">
        <v>0.58244099999999999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7</v>
      </c>
      <c r="N46">
        <v>7</v>
      </c>
      <c r="O46">
        <v>4258</v>
      </c>
      <c r="P46">
        <v>6</v>
      </c>
      <c r="Q46">
        <v>14</v>
      </c>
      <c r="R46">
        <v>788</v>
      </c>
      <c r="S46">
        <v>35</v>
      </c>
      <c r="T46">
        <v>1260</v>
      </c>
      <c r="U46">
        <v>0.52751899999999996</v>
      </c>
      <c r="V46">
        <v>5.0790000000000002E-2</v>
      </c>
      <c r="W46">
        <v>3.2699999999999999E-3</v>
      </c>
      <c r="X46">
        <v>6.1419999999999999E-3</v>
      </c>
      <c r="Y46">
        <v>0.58777900000000005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7</v>
      </c>
      <c r="N47">
        <v>7</v>
      </c>
      <c r="O47">
        <v>4252</v>
      </c>
      <c r="P47">
        <v>0</v>
      </c>
      <c r="Q47">
        <v>14</v>
      </c>
      <c r="R47">
        <v>788</v>
      </c>
      <c r="S47">
        <v>9</v>
      </c>
      <c r="T47">
        <v>1260</v>
      </c>
      <c r="U47">
        <v>0.49628899999999998</v>
      </c>
      <c r="V47">
        <v>5.0645000000000003E-2</v>
      </c>
      <c r="W47">
        <v>3.388E-3</v>
      </c>
      <c r="X47">
        <v>2.72E-4</v>
      </c>
      <c r="Y47">
        <v>0.55064999999999997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7</v>
      </c>
      <c r="N48">
        <v>7</v>
      </c>
      <c r="O48">
        <v>4252</v>
      </c>
      <c r="P48">
        <v>0</v>
      </c>
      <c r="Q48">
        <v>14</v>
      </c>
      <c r="R48">
        <v>788</v>
      </c>
      <c r="S48">
        <v>9</v>
      </c>
      <c r="T48">
        <v>1260</v>
      </c>
      <c r="U48">
        <v>0.46101799999999998</v>
      </c>
      <c r="V48">
        <v>4.9154999999999997E-2</v>
      </c>
      <c r="W48">
        <v>3.4329999999999999E-3</v>
      </c>
      <c r="X48">
        <v>2.6800000000000001E-4</v>
      </c>
      <c r="Y48">
        <v>0.51392800000000005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7</v>
      </c>
      <c r="N49">
        <v>7</v>
      </c>
      <c r="O49">
        <v>4252</v>
      </c>
      <c r="P49">
        <v>0</v>
      </c>
      <c r="Q49">
        <v>14</v>
      </c>
      <c r="R49">
        <v>788</v>
      </c>
      <c r="S49">
        <v>9</v>
      </c>
      <c r="T49">
        <v>1260</v>
      </c>
      <c r="U49">
        <v>0.62333799999999995</v>
      </c>
      <c r="V49">
        <v>5.0310000000000001E-2</v>
      </c>
      <c r="W49">
        <v>3.588E-3</v>
      </c>
      <c r="X49">
        <v>2.7999999999999998E-4</v>
      </c>
      <c r="Y49">
        <v>0.67757900000000004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7</v>
      </c>
      <c r="N50">
        <v>7</v>
      </c>
      <c r="O50">
        <v>4258</v>
      </c>
      <c r="P50">
        <v>6</v>
      </c>
      <c r="Q50">
        <v>14</v>
      </c>
      <c r="R50">
        <v>788</v>
      </c>
      <c r="S50">
        <v>35</v>
      </c>
      <c r="T50">
        <v>1260</v>
      </c>
      <c r="U50">
        <v>0.54631099999999999</v>
      </c>
      <c r="V50">
        <v>5.0348999999999998E-2</v>
      </c>
      <c r="W50">
        <v>3.6080000000000001E-3</v>
      </c>
      <c r="X50">
        <v>5.6429999999999996E-3</v>
      </c>
      <c r="Y50">
        <v>0.60597100000000004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7</v>
      </c>
      <c r="N51">
        <v>7</v>
      </c>
      <c r="O51">
        <v>4252</v>
      </c>
      <c r="P51">
        <v>0</v>
      </c>
      <c r="Q51">
        <v>14</v>
      </c>
      <c r="R51">
        <v>788</v>
      </c>
      <c r="S51">
        <v>10</v>
      </c>
      <c r="T51">
        <v>1260</v>
      </c>
      <c r="U51">
        <v>0.486871</v>
      </c>
      <c r="V51">
        <v>5.1366000000000002E-2</v>
      </c>
      <c r="W51">
        <v>3.555E-3</v>
      </c>
      <c r="X51">
        <v>2.5099999999999998E-4</v>
      </c>
      <c r="Y51">
        <v>0.54210700000000001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7</v>
      </c>
      <c r="N52">
        <v>7</v>
      </c>
      <c r="O52">
        <v>4252</v>
      </c>
      <c r="P52">
        <v>0</v>
      </c>
      <c r="Q52">
        <v>14</v>
      </c>
      <c r="R52">
        <v>788</v>
      </c>
      <c r="S52">
        <v>10</v>
      </c>
      <c r="T52">
        <v>1260</v>
      </c>
      <c r="U52">
        <v>0.55739899999999998</v>
      </c>
      <c r="V52">
        <v>5.1047000000000002E-2</v>
      </c>
      <c r="W52">
        <v>3.9690000000000003E-3</v>
      </c>
      <c r="X52">
        <v>3.0299999999999999E-4</v>
      </c>
      <c r="Y52">
        <v>0.61277800000000004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7</v>
      </c>
      <c r="N53">
        <v>7</v>
      </c>
      <c r="O53">
        <v>4252</v>
      </c>
      <c r="P53">
        <v>0</v>
      </c>
      <c r="Q53">
        <v>14</v>
      </c>
      <c r="R53">
        <v>788</v>
      </c>
      <c r="S53">
        <v>10</v>
      </c>
      <c r="T53">
        <v>1260</v>
      </c>
      <c r="U53">
        <v>0.61761299999999997</v>
      </c>
      <c r="V53">
        <v>4.9274999999999999E-2</v>
      </c>
      <c r="W53">
        <v>3.5890000000000002E-3</v>
      </c>
      <c r="X53">
        <v>2.5700000000000001E-4</v>
      </c>
      <c r="Y53">
        <v>0.67079500000000003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7</v>
      </c>
      <c r="N54">
        <v>7</v>
      </c>
      <c r="O54">
        <v>4258</v>
      </c>
      <c r="P54">
        <v>6</v>
      </c>
      <c r="Q54">
        <v>14</v>
      </c>
      <c r="R54">
        <v>788</v>
      </c>
      <c r="S54">
        <v>35</v>
      </c>
      <c r="T54">
        <v>1260</v>
      </c>
      <c r="U54">
        <v>0.56588499999999997</v>
      </c>
      <c r="V54">
        <v>4.8606000000000003E-2</v>
      </c>
      <c r="W54">
        <v>3.333E-3</v>
      </c>
      <c r="X54">
        <v>5.8830000000000002E-3</v>
      </c>
      <c r="Y54">
        <v>0.62379099999999998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7</v>
      </c>
      <c r="N55">
        <v>7</v>
      </c>
      <c r="O55">
        <v>4264</v>
      </c>
      <c r="P55">
        <v>12</v>
      </c>
      <c r="Q55">
        <v>14</v>
      </c>
      <c r="R55">
        <v>788</v>
      </c>
      <c r="S55">
        <v>41</v>
      </c>
      <c r="T55">
        <v>1260</v>
      </c>
      <c r="U55">
        <v>0.508185</v>
      </c>
      <c r="V55">
        <v>4.8863999999999998E-2</v>
      </c>
      <c r="W55">
        <v>3.4429999999999999E-3</v>
      </c>
      <c r="X55">
        <v>5.8760000000000001E-3</v>
      </c>
      <c r="Y55">
        <v>0.56643399999999999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7</v>
      </c>
      <c r="N56">
        <v>7</v>
      </c>
      <c r="O56">
        <v>4252</v>
      </c>
      <c r="P56">
        <v>0</v>
      </c>
      <c r="Q56">
        <v>14</v>
      </c>
      <c r="R56">
        <v>788</v>
      </c>
      <c r="S56">
        <v>8</v>
      </c>
      <c r="T56">
        <v>1260</v>
      </c>
      <c r="U56">
        <v>0.58103199999999999</v>
      </c>
      <c r="V56">
        <v>5.0224999999999999E-2</v>
      </c>
      <c r="W56">
        <v>3.3170000000000001E-3</v>
      </c>
      <c r="X56">
        <v>2.5399999999999999E-4</v>
      </c>
      <c r="Y56">
        <v>0.63489899999999999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7</v>
      </c>
      <c r="N57">
        <v>7</v>
      </c>
      <c r="O57">
        <v>4252</v>
      </c>
      <c r="P57">
        <v>0</v>
      </c>
      <c r="Q57">
        <v>14</v>
      </c>
      <c r="R57">
        <v>788</v>
      </c>
      <c r="S57">
        <v>9</v>
      </c>
      <c r="T57">
        <v>1260</v>
      </c>
      <c r="U57">
        <v>0.60495600000000005</v>
      </c>
      <c r="V57">
        <v>4.9638000000000002E-2</v>
      </c>
      <c r="W57">
        <v>3.5490000000000001E-3</v>
      </c>
      <c r="X57">
        <v>2.72E-4</v>
      </c>
      <c r="Y57">
        <v>0.65846700000000002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7</v>
      </c>
      <c r="N58">
        <v>7</v>
      </c>
      <c r="O58">
        <v>4260</v>
      </c>
      <c r="P58">
        <v>8</v>
      </c>
      <c r="Q58">
        <v>14</v>
      </c>
      <c r="R58">
        <v>788</v>
      </c>
      <c r="S58">
        <v>37</v>
      </c>
      <c r="T58">
        <v>1260</v>
      </c>
      <c r="U58">
        <v>0.87839299999999998</v>
      </c>
      <c r="V58">
        <v>4.9516999999999999E-2</v>
      </c>
      <c r="W58">
        <v>3.532E-3</v>
      </c>
      <c r="X58">
        <v>5.7790000000000003E-3</v>
      </c>
      <c r="Y58">
        <v>0.93727400000000005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7</v>
      </c>
      <c r="N59">
        <v>7</v>
      </c>
      <c r="O59">
        <v>4252</v>
      </c>
      <c r="P59">
        <v>0</v>
      </c>
      <c r="Q59">
        <v>14</v>
      </c>
      <c r="R59">
        <v>788</v>
      </c>
      <c r="S59">
        <v>10</v>
      </c>
      <c r="T59">
        <v>1260</v>
      </c>
      <c r="U59">
        <v>0.49634899999999998</v>
      </c>
      <c r="V59">
        <v>4.9702999999999997E-2</v>
      </c>
      <c r="W59">
        <v>3.4269999999999999E-3</v>
      </c>
      <c r="X59">
        <v>2.6400000000000002E-4</v>
      </c>
      <c r="Y59">
        <v>0.54979500000000003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1616</v>
      </c>
      <c r="I60">
        <v>38.01</v>
      </c>
      <c r="J60" t="s">
        <v>31</v>
      </c>
      <c r="K60">
        <v>600</v>
      </c>
      <c r="L60" t="s">
        <v>32</v>
      </c>
      <c r="M60">
        <v>7</v>
      </c>
      <c r="N60">
        <v>7</v>
      </c>
      <c r="O60">
        <v>4264</v>
      </c>
      <c r="P60">
        <v>12</v>
      </c>
      <c r="Q60">
        <v>14</v>
      </c>
      <c r="R60">
        <v>788</v>
      </c>
      <c r="S60">
        <v>9</v>
      </c>
      <c r="T60">
        <v>1260</v>
      </c>
      <c r="U60">
        <v>0.40606300000000001</v>
      </c>
      <c r="V60">
        <v>4.8297E-2</v>
      </c>
      <c r="W60">
        <v>3.385E-3</v>
      </c>
      <c r="X60">
        <v>2.5500000000000002E-4</v>
      </c>
      <c r="Y60">
        <v>0.45805000000000001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1616</v>
      </c>
      <c r="I61">
        <v>38.01</v>
      </c>
      <c r="J61" t="s">
        <v>31</v>
      </c>
      <c r="K61">
        <v>600</v>
      </c>
      <c r="L61" t="s">
        <v>32</v>
      </c>
      <c r="M61">
        <v>7</v>
      </c>
      <c r="N61">
        <v>7</v>
      </c>
      <c r="O61">
        <v>4252</v>
      </c>
      <c r="P61">
        <v>0</v>
      </c>
      <c r="Q61">
        <v>14</v>
      </c>
      <c r="R61">
        <v>788</v>
      </c>
      <c r="S61">
        <v>10</v>
      </c>
      <c r="T61">
        <v>1260</v>
      </c>
      <c r="U61">
        <v>0.60246699999999997</v>
      </c>
      <c r="V61">
        <v>4.9716000000000003E-2</v>
      </c>
      <c r="W61">
        <v>3.323E-3</v>
      </c>
      <c r="X61">
        <v>2.8200000000000002E-4</v>
      </c>
      <c r="Y61">
        <v>0.65583999999999998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1616</v>
      </c>
      <c r="I62">
        <v>38.01</v>
      </c>
      <c r="J62" t="s">
        <v>31</v>
      </c>
      <c r="K62">
        <v>600</v>
      </c>
      <c r="L62" t="s">
        <v>32</v>
      </c>
      <c r="M62">
        <v>7</v>
      </c>
      <c r="N62">
        <v>7</v>
      </c>
      <c r="O62">
        <v>4258</v>
      </c>
      <c r="P62">
        <v>6</v>
      </c>
      <c r="Q62">
        <v>14</v>
      </c>
      <c r="R62">
        <v>788</v>
      </c>
      <c r="S62">
        <v>35</v>
      </c>
      <c r="T62">
        <v>1260</v>
      </c>
      <c r="U62">
        <v>0.57688700000000004</v>
      </c>
      <c r="V62">
        <v>4.9625000000000002E-2</v>
      </c>
      <c r="W62">
        <v>3.3430000000000001E-3</v>
      </c>
      <c r="X62">
        <v>5.574E-3</v>
      </c>
      <c r="Y62">
        <v>0.63548499999999997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1616</v>
      </c>
      <c r="I63">
        <v>38.01</v>
      </c>
      <c r="J63" t="s">
        <v>31</v>
      </c>
      <c r="K63">
        <v>600</v>
      </c>
      <c r="L63" t="s">
        <v>32</v>
      </c>
      <c r="M63">
        <v>7</v>
      </c>
      <c r="N63">
        <v>7</v>
      </c>
      <c r="O63">
        <v>4258</v>
      </c>
      <c r="P63">
        <v>6</v>
      </c>
      <c r="Q63">
        <v>14</v>
      </c>
      <c r="R63">
        <v>788</v>
      </c>
      <c r="S63">
        <v>35</v>
      </c>
      <c r="T63">
        <v>1260</v>
      </c>
      <c r="U63">
        <v>0.57211299999999998</v>
      </c>
      <c r="V63">
        <v>4.8952000000000002E-2</v>
      </c>
      <c r="W63">
        <v>3.3930000000000002E-3</v>
      </c>
      <c r="X63">
        <v>5.2789999999999998E-3</v>
      </c>
      <c r="Y63">
        <v>0.62978900000000004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1616</v>
      </c>
      <c r="I64">
        <v>38.01</v>
      </c>
      <c r="J64" t="s">
        <v>31</v>
      </c>
      <c r="K64">
        <v>600</v>
      </c>
      <c r="L64" t="s">
        <v>32</v>
      </c>
      <c r="M64">
        <v>7</v>
      </c>
      <c r="N64">
        <v>7</v>
      </c>
      <c r="O64">
        <v>4252</v>
      </c>
      <c r="P64">
        <v>0</v>
      </c>
      <c r="Q64">
        <v>14</v>
      </c>
      <c r="R64">
        <v>788</v>
      </c>
      <c r="S64">
        <v>10</v>
      </c>
      <c r="T64">
        <v>1260</v>
      </c>
      <c r="U64">
        <v>0.57321900000000003</v>
      </c>
      <c r="V64">
        <v>4.8584000000000002E-2</v>
      </c>
      <c r="W64">
        <v>3.3409999999999998E-3</v>
      </c>
      <c r="X64">
        <v>2.7399999999999999E-4</v>
      </c>
      <c r="Y64">
        <v>0.62546800000000002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1616</v>
      </c>
      <c r="I65">
        <v>38.01</v>
      </c>
      <c r="J65" t="s">
        <v>31</v>
      </c>
      <c r="K65">
        <v>600</v>
      </c>
      <c r="L65" t="s">
        <v>32</v>
      </c>
      <c r="M65">
        <v>7</v>
      </c>
      <c r="N65">
        <v>7</v>
      </c>
      <c r="O65">
        <v>4264</v>
      </c>
      <c r="P65">
        <v>12</v>
      </c>
      <c r="Q65">
        <v>14</v>
      </c>
      <c r="R65">
        <v>788</v>
      </c>
      <c r="S65">
        <v>43</v>
      </c>
      <c r="T65">
        <v>1260</v>
      </c>
      <c r="U65">
        <v>0.51299899999999998</v>
      </c>
      <c r="V65">
        <v>4.8647000000000003E-2</v>
      </c>
      <c r="W65">
        <v>3.3649999999999999E-3</v>
      </c>
      <c r="X65">
        <v>5.9059999999999998E-3</v>
      </c>
      <c r="Y65">
        <v>0.57097100000000001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1616</v>
      </c>
      <c r="I66">
        <v>38.01</v>
      </c>
      <c r="J66" t="s">
        <v>31</v>
      </c>
      <c r="K66">
        <v>600</v>
      </c>
      <c r="L66" t="s">
        <v>32</v>
      </c>
      <c r="M66">
        <v>7</v>
      </c>
      <c r="N66">
        <v>7</v>
      </c>
      <c r="O66">
        <v>4260</v>
      </c>
      <c r="P66">
        <v>8</v>
      </c>
      <c r="Q66">
        <v>14</v>
      </c>
      <c r="R66">
        <v>788</v>
      </c>
      <c r="S66">
        <v>37</v>
      </c>
      <c r="T66">
        <v>1260</v>
      </c>
      <c r="U66">
        <v>0.58358399999999999</v>
      </c>
      <c r="V66">
        <v>4.9675999999999998E-2</v>
      </c>
      <c r="W66">
        <v>3.3289999999999999E-3</v>
      </c>
      <c r="X66">
        <v>5.9280000000000001E-3</v>
      </c>
      <c r="Y66">
        <v>0.64256800000000003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1616</v>
      </c>
      <c r="I67">
        <v>38.01</v>
      </c>
      <c r="J67" t="s">
        <v>31</v>
      </c>
      <c r="K67">
        <v>600</v>
      </c>
      <c r="L67" t="s">
        <v>32</v>
      </c>
      <c r="M67">
        <v>7</v>
      </c>
      <c r="N67">
        <v>7</v>
      </c>
      <c r="O67">
        <v>4252</v>
      </c>
      <c r="P67">
        <v>0</v>
      </c>
      <c r="Q67">
        <v>14</v>
      </c>
      <c r="R67">
        <v>788</v>
      </c>
      <c r="S67">
        <v>10</v>
      </c>
      <c r="T67">
        <v>1260</v>
      </c>
      <c r="U67">
        <v>0.73959200000000003</v>
      </c>
      <c r="V67">
        <v>4.9832000000000001E-2</v>
      </c>
      <c r="W67">
        <v>3.3969999999999998E-3</v>
      </c>
      <c r="X67">
        <v>2.8299999999999999E-4</v>
      </c>
      <c r="Y67">
        <v>0.79315800000000003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1616</v>
      </c>
      <c r="I68">
        <v>38.01</v>
      </c>
      <c r="J68" t="s">
        <v>31</v>
      </c>
      <c r="K68">
        <v>600</v>
      </c>
      <c r="L68" t="s">
        <v>32</v>
      </c>
      <c r="M68">
        <v>7</v>
      </c>
      <c r="N68">
        <v>7</v>
      </c>
      <c r="O68">
        <v>4264</v>
      </c>
      <c r="P68">
        <v>12</v>
      </c>
      <c r="Q68">
        <v>14</v>
      </c>
      <c r="R68">
        <v>788</v>
      </c>
      <c r="S68">
        <v>41</v>
      </c>
      <c r="T68">
        <v>1260</v>
      </c>
      <c r="U68">
        <v>0.63885000000000003</v>
      </c>
      <c r="V68">
        <v>4.9480999999999997E-2</v>
      </c>
      <c r="W68">
        <v>3.552E-3</v>
      </c>
      <c r="X68">
        <v>5.5710000000000004E-3</v>
      </c>
      <c r="Y68">
        <v>0.69750999999999996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1616</v>
      </c>
      <c r="I69">
        <v>38.01</v>
      </c>
      <c r="J69" t="s">
        <v>31</v>
      </c>
      <c r="K69">
        <v>600</v>
      </c>
      <c r="L69" t="s">
        <v>32</v>
      </c>
      <c r="M69">
        <v>7</v>
      </c>
      <c r="N69">
        <v>7</v>
      </c>
      <c r="O69">
        <v>4252</v>
      </c>
      <c r="P69">
        <v>0</v>
      </c>
      <c r="Q69">
        <v>14</v>
      </c>
      <c r="R69">
        <v>788</v>
      </c>
      <c r="S69">
        <v>9</v>
      </c>
      <c r="T69">
        <v>1260</v>
      </c>
      <c r="U69">
        <v>0.51684300000000005</v>
      </c>
      <c r="V69">
        <v>4.8533E-2</v>
      </c>
      <c r="W69">
        <v>3.3219999999999999E-3</v>
      </c>
      <c r="X69">
        <v>2.6600000000000001E-4</v>
      </c>
      <c r="Y69">
        <v>0.56901000000000002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1616</v>
      </c>
      <c r="I70">
        <v>38.01</v>
      </c>
      <c r="J70" t="s">
        <v>31</v>
      </c>
      <c r="K70">
        <v>600</v>
      </c>
      <c r="L70" t="s">
        <v>32</v>
      </c>
      <c r="M70">
        <v>7</v>
      </c>
      <c r="N70">
        <v>7</v>
      </c>
      <c r="O70">
        <v>4252</v>
      </c>
      <c r="P70">
        <v>0</v>
      </c>
      <c r="Q70">
        <v>14</v>
      </c>
      <c r="R70">
        <v>788</v>
      </c>
      <c r="S70">
        <v>8</v>
      </c>
      <c r="T70">
        <v>1260</v>
      </c>
      <c r="U70">
        <v>0.54874100000000003</v>
      </c>
      <c r="V70">
        <v>4.8468999999999998E-2</v>
      </c>
      <c r="W70">
        <v>3.3660000000000001E-3</v>
      </c>
      <c r="X70">
        <v>2.6200000000000003E-4</v>
      </c>
      <c r="Y70">
        <v>0.60089000000000004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1616</v>
      </c>
      <c r="I71">
        <v>38.01</v>
      </c>
      <c r="J71" t="s">
        <v>31</v>
      </c>
      <c r="K71">
        <v>600</v>
      </c>
      <c r="L71" t="s">
        <v>32</v>
      </c>
      <c r="M71">
        <v>7</v>
      </c>
      <c r="N71">
        <v>7</v>
      </c>
      <c r="O71">
        <v>4266</v>
      </c>
      <c r="P71">
        <v>14</v>
      </c>
      <c r="Q71">
        <v>14</v>
      </c>
      <c r="R71">
        <v>788</v>
      </c>
      <c r="S71">
        <v>39</v>
      </c>
      <c r="T71">
        <v>1260</v>
      </c>
      <c r="U71">
        <v>0.59627799999999997</v>
      </c>
      <c r="V71">
        <v>4.9963E-2</v>
      </c>
      <c r="W71">
        <v>3.4659999999999999E-3</v>
      </c>
      <c r="X71">
        <v>5.2919999999999998E-3</v>
      </c>
      <c r="Y71">
        <v>0.655057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1616</v>
      </c>
      <c r="I72">
        <v>38.01</v>
      </c>
      <c r="J72" t="s">
        <v>31</v>
      </c>
      <c r="K72">
        <v>600</v>
      </c>
      <c r="L72" t="s">
        <v>32</v>
      </c>
      <c r="M72">
        <v>7</v>
      </c>
      <c r="N72">
        <v>7</v>
      </c>
      <c r="O72">
        <v>4252</v>
      </c>
      <c r="P72">
        <v>0</v>
      </c>
      <c r="Q72">
        <v>14</v>
      </c>
      <c r="R72">
        <v>788</v>
      </c>
      <c r="S72">
        <v>9</v>
      </c>
      <c r="T72">
        <v>1260</v>
      </c>
      <c r="U72">
        <v>0.51066</v>
      </c>
      <c r="V72">
        <v>4.9757000000000003E-2</v>
      </c>
      <c r="W72">
        <v>3.2659999999999998E-3</v>
      </c>
      <c r="X72">
        <v>2.7E-4</v>
      </c>
      <c r="Y72">
        <v>0.56399900000000003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1616</v>
      </c>
      <c r="I73">
        <v>38.01</v>
      </c>
      <c r="J73" t="s">
        <v>31</v>
      </c>
      <c r="K73">
        <v>600</v>
      </c>
      <c r="L73" t="s">
        <v>32</v>
      </c>
      <c r="M73">
        <v>7</v>
      </c>
      <c r="N73">
        <v>7</v>
      </c>
      <c r="O73">
        <v>4252</v>
      </c>
      <c r="P73">
        <v>0</v>
      </c>
      <c r="Q73">
        <v>14</v>
      </c>
      <c r="R73">
        <v>788</v>
      </c>
      <c r="S73">
        <v>10</v>
      </c>
      <c r="T73">
        <v>1260</v>
      </c>
      <c r="U73">
        <v>0.54431700000000005</v>
      </c>
      <c r="V73">
        <v>4.9807999999999998E-2</v>
      </c>
      <c r="W73">
        <v>3.2460000000000002E-3</v>
      </c>
      <c r="X73">
        <v>2.7599999999999999E-4</v>
      </c>
      <c r="Y73">
        <v>0.59769300000000003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1616</v>
      </c>
      <c r="I74">
        <v>38.01</v>
      </c>
      <c r="J74" t="s">
        <v>31</v>
      </c>
      <c r="K74">
        <v>600</v>
      </c>
      <c r="L74" t="s">
        <v>32</v>
      </c>
      <c r="M74">
        <v>7</v>
      </c>
      <c r="N74">
        <v>7</v>
      </c>
      <c r="O74">
        <v>4252</v>
      </c>
      <c r="P74">
        <v>0</v>
      </c>
      <c r="Q74">
        <v>14</v>
      </c>
      <c r="R74">
        <v>788</v>
      </c>
      <c r="S74">
        <v>9</v>
      </c>
      <c r="T74">
        <v>1260</v>
      </c>
      <c r="U74">
        <v>0.52707400000000004</v>
      </c>
      <c r="V74">
        <v>4.9676999999999999E-2</v>
      </c>
      <c r="W74">
        <v>3.2560000000000002E-3</v>
      </c>
      <c r="X74">
        <v>2.7099999999999997E-4</v>
      </c>
      <c r="Y74">
        <v>0.58033000000000001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1616</v>
      </c>
      <c r="I75">
        <v>38.01</v>
      </c>
      <c r="J75" t="s">
        <v>31</v>
      </c>
      <c r="K75">
        <v>600</v>
      </c>
      <c r="L75" t="s">
        <v>32</v>
      </c>
      <c r="M75">
        <v>7</v>
      </c>
      <c r="N75">
        <v>7</v>
      </c>
      <c r="O75">
        <v>4252</v>
      </c>
      <c r="P75">
        <v>0</v>
      </c>
      <c r="Q75">
        <v>14</v>
      </c>
      <c r="R75">
        <v>788</v>
      </c>
      <c r="S75">
        <v>10</v>
      </c>
      <c r="T75">
        <v>1260</v>
      </c>
      <c r="U75">
        <v>0.57110899999999998</v>
      </c>
      <c r="V75">
        <v>4.9502999999999998E-2</v>
      </c>
      <c r="W75">
        <v>3.382E-3</v>
      </c>
      <c r="X75">
        <v>2.61E-4</v>
      </c>
      <c r="Y75">
        <v>0.624309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1616</v>
      </c>
      <c r="I76">
        <v>38.01</v>
      </c>
      <c r="J76" t="s">
        <v>31</v>
      </c>
      <c r="K76">
        <v>600</v>
      </c>
      <c r="L76" t="s">
        <v>32</v>
      </c>
      <c r="M76">
        <v>7</v>
      </c>
      <c r="N76">
        <v>7</v>
      </c>
      <c r="O76">
        <v>4258</v>
      </c>
      <c r="P76">
        <v>6</v>
      </c>
      <c r="Q76">
        <v>14</v>
      </c>
      <c r="R76">
        <v>788</v>
      </c>
      <c r="S76">
        <v>37</v>
      </c>
      <c r="T76">
        <v>1260</v>
      </c>
      <c r="U76">
        <v>0.43206800000000001</v>
      </c>
      <c r="V76">
        <v>4.8221E-2</v>
      </c>
      <c r="W76">
        <v>4.7270000000000003E-3</v>
      </c>
      <c r="X76">
        <v>5.8100000000000001E-3</v>
      </c>
      <c r="Y76">
        <v>0.490898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1616</v>
      </c>
      <c r="I77">
        <v>38.01</v>
      </c>
      <c r="J77" t="s">
        <v>31</v>
      </c>
      <c r="K77">
        <v>600</v>
      </c>
      <c r="L77" t="s">
        <v>32</v>
      </c>
      <c r="M77">
        <v>7</v>
      </c>
      <c r="N77">
        <v>7</v>
      </c>
      <c r="O77">
        <v>4252</v>
      </c>
      <c r="P77">
        <v>0</v>
      </c>
      <c r="Q77">
        <v>14</v>
      </c>
      <c r="R77">
        <v>788</v>
      </c>
      <c r="S77">
        <v>10</v>
      </c>
      <c r="T77">
        <v>1260</v>
      </c>
      <c r="U77">
        <v>0.50462399999999996</v>
      </c>
      <c r="V77">
        <v>4.8845E-2</v>
      </c>
      <c r="W77">
        <v>3.516E-3</v>
      </c>
      <c r="X77">
        <v>3.6699999999999998E-4</v>
      </c>
      <c r="Y77">
        <v>0.55740699999999999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1616</v>
      </c>
      <c r="I78">
        <v>38.01</v>
      </c>
      <c r="J78" t="s">
        <v>31</v>
      </c>
      <c r="K78">
        <v>600</v>
      </c>
      <c r="L78" t="s">
        <v>32</v>
      </c>
      <c r="M78">
        <v>7</v>
      </c>
      <c r="N78">
        <v>7</v>
      </c>
      <c r="O78">
        <v>4252</v>
      </c>
      <c r="P78">
        <v>0</v>
      </c>
      <c r="Q78">
        <v>14</v>
      </c>
      <c r="R78">
        <v>788</v>
      </c>
      <c r="S78">
        <v>10</v>
      </c>
      <c r="T78">
        <v>1260</v>
      </c>
      <c r="U78">
        <v>0.47954000000000002</v>
      </c>
      <c r="V78">
        <v>4.8804E-2</v>
      </c>
      <c r="W78">
        <v>3.48E-3</v>
      </c>
      <c r="X78">
        <v>2.8899999999999998E-4</v>
      </c>
      <c r="Y78">
        <v>0.532169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1616</v>
      </c>
      <c r="I79">
        <v>38.01</v>
      </c>
      <c r="J79" t="s">
        <v>31</v>
      </c>
      <c r="K79">
        <v>600</v>
      </c>
      <c r="L79" t="s">
        <v>32</v>
      </c>
      <c r="M79">
        <v>7</v>
      </c>
      <c r="N79">
        <v>7</v>
      </c>
      <c r="O79">
        <v>4264</v>
      </c>
      <c r="P79">
        <v>12</v>
      </c>
      <c r="Q79">
        <v>14</v>
      </c>
      <c r="R79">
        <v>788</v>
      </c>
      <c r="S79">
        <v>41</v>
      </c>
      <c r="T79">
        <v>1260</v>
      </c>
      <c r="U79">
        <v>0.57738199999999995</v>
      </c>
      <c r="V79">
        <v>4.9950000000000001E-2</v>
      </c>
      <c r="W79">
        <v>3.4880000000000002E-3</v>
      </c>
      <c r="X79">
        <v>5.5230000000000001E-3</v>
      </c>
      <c r="Y79">
        <v>0.63640099999999999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1616</v>
      </c>
      <c r="I80">
        <v>38.01</v>
      </c>
      <c r="J80" t="s">
        <v>31</v>
      </c>
      <c r="K80">
        <v>600</v>
      </c>
      <c r="L80" t="s">
        <v>32</v>
      </c>
      <c r="M80">
        <v>7</v>
      </c>
      <c r="N80">
        <v>7</v>
      </c>
      <c r="O80">
        <v>4264</v>
      </c>
      <c r="P80">
        <v>12</v>
      </c>
      <c r="Q80">
        <v>14</v>
      </c>
      <c r="R80">
        <v>788</v>
      </c>
      <c r="S80">
        <v>37</v>
      </c>
      <c r="T80">
        <v>1260</v>
      </c>
      <c r="U80">
        <v>0.56177500000000002</v>
      </c>
      <c r="V80">
        <v>4.9808999999999999E-2</v>
      </c>
      <c r="W80">
        <v>3.3430000000000001E-3</v>
      </c>
      <c r="X80">
        <v>9.4179999999999993E-3</v>
      </c>
      <c r="Y80">
        <v>0.62440099999999998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1616</v>
      </c>
      <c r="I81">
        <v>38.01</v>
      </c>
      <c r="J81" t="s">
        <v>31</v>
      </c>
      <c r="K81">
        <v>600</v>
      </c>
      <c r="L81" t="s">
        <v>32</v>
      </c>
      <c r="M81">
        <v>7</v>
      </c>
      <c r="N81">
        <v>7</v>
      </c>
      <c r="O81">
        <v>4252</v>
      </c>
      <c r="P81">
        <v>0</v>
      </c>
      <c r="Q81">
        <v>14</v>
      </c>
      <c r="R81">
        <v>788</v>
      </c>
      <c r="S81">
        <v>10</v>
      </c>
      <c r="T81">
        <v>1260</v>
      </c>
      <c r="U81">
        <v>0.53689799999999999</v>
      </c>
      <c r="V81">
        <v>4.9881000000000002E-2</v>
      </c>
      <c r="W81">
        <v>3.2620000000000001E-3</v>
      </c>
      <c r="X81">
        <v>2.92E-4</v>
      </c>
      <c r="Y81">
        <v>0.59038500000000005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1616</v>
      </c>
      <c r="I82">
        <v>38.01</v>
      </c>
      <c r="J82" t="s">
        <v>31</v>
      </c>
      <c r="K82">
        <v>600</v>
      </c>
      <c r="L82" t="s">
        <v>32</v>
      </c>
      <c r="M82">
        <v>7</v>
      </c>
      <c r="N82">
        <v>7</v>
      </c>
      <c r="O82">
        <v>4252</v>
      </c>
      <c r="P82">
        <v>0</v>
      </c>
      <c r="Q82">
        <v>14</v>
      </c>
      <c r="R82">
        <v>788</v>
      </c>
      <c r="S82">
        <v>12</v>
      </c>
      <c r="T82">
        <v>1260</v>
      </c>
      <c r="U82">
        <v>0.63151400000000002</v>
      </c>
      <c r="V82">
        <v>4.8670999999999999E-2</v>
      </c>
      <c r="W82">
        <v>3.2910000000000001E-3</v>
      </c>
      <c r="X82">
        <v>2.9999999999999997E-4</v>
      </c>
      <c r="Y82">
        <v>0.68382399999999999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1616</v>
      </c>
      <c r="I83">
        <v>38.01</v>
      </c>
      <c r="J83" t="s">
        <v>31</v>
      </c>
      <c r="K83">
        <v>600</v>
      </c>
      <c r="L83" t="s">
        <v>32</v>
      </c>
      <c r="M83">
        <v>7</v>
      </c>
      <c r="N83">
        <v>7</v>
      </c>
      <c r="O83">
        <v>4260</v>
      </c>
      <c r="P83">
        <v>8</v>
      </c>
      <c r="Q83">
        <v>14</v>
      </c>
      <c r="R83">
        <v>788</v>
      </c>
      <c r="S83">
        <v>37</v>
      </c>
      <c r="T83">
        <v>1260</v>
      </c>
      <c r="U83">
        <v>0.43767600000000001</v>
      </c>
      <c r="V83">
        <v>4.8793999999999997E-2</v>
      </c>
      <c r="W83">
        <v>3.3779999999999999E-3</v>
      </c>
      <c r="X83">
        <v>5.6709999999999998E-3</v>
      </c>
      <c r="Y83">
        <v>0.49556899999999998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1616</v>
      </c>
      <c r="I84">
        <v>38.01</v>
      </c>
      <c r="J84" t="s">
        <v>31</v>
      </c>
      <c r="K84">
        <v>600</v>
      </c>
      <c r="L84" t="s">
        <v>32</v>
      </c>
      <c r="M84">
        <v>7</v>
      </c>
      <c r="N84">
        <v>7</v>
      </c>
      <c r="O84">
        <v>4252</v>
      </c>
      <c r="P84">
        <v>0</v>
      </c>
      <c r="Q84">
        <v>14</v>
      </c>
      <c r="R84">
        <v>788</v>
      </c>
      <c r="S84">
        <v>10</v>
      </c>
      <c r="T84">
        <v>1260</v>
      </c>
      <c r="U84">
        <v>0.57718700000000001</v>
      </c>
      <c r="V84">
        <v>4.8613999999999997E-2</v>
      </c>
      <c r="W84">
        <v>3.3149999999999998E-3</v>
      </c>
      <c r="X84">
        <v>2.6800000000000001E-4</v>
      </c>
      <c r="Y84">
        <v>0.62943499999999997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1616</v>
      </c>
      <c r="I85">
        <v>38.01</v>
      </c>
      <c r="J85" t="s">
        <v>31</v>
      </c>
      <c r="K85">
        <v>600</v>
      </c>
      <c r="L85" t="s">
        <v>32</v>
      </c>
      <c r="M85">
        <v>7</v>
      </c>
      <c r="N85">
        <v>7</v>
      </c>
      <c r="O85">
        <v>4258</v>
      </c>
      <c r="P85">
        <v>6</v>
      </c>
      <c r="Q85">
        <v>14</v>
      </c>
      <c r="R85">
        <v>788</v>
      </c>
      <c r="S85">
        <v>35</v>
      </c>
      <c r="T85">
        <v>1260</v>
      </c>
      <c r="U85">
        <v>0.61528400000000005</v>
      </c>
      <c r="V85">
        <v>5.0192000000000001E-2</v>
      </c>
      <c r="W85">
        <v>3.7420000000000001E-3</v>
      </c>
      <c r="X85">
        <v>6.6439999999999997E-3</v>
      </c>
      <c r="Y85">
        <v>0.67591999999999997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1616</v>
      </c>
      <c r="I86">
        <v>38.01</v>
      </c>
      <c r="J86" t="s">
        <v>31</v>
      </c>
      <c r="K86">
        <v>600</v>
      </c>
      <c r="L86" t="s">
        <v>32</v>
      </c>
      <c r="M86">
        <v>7</v>
      </c>
      <c r="N86">
        <v>7</v>
      </c>
      <c r="O86">
        <v>4252</v>
      </c>
      <c r="P86">
        <v>0</v>
      </c>
      <c r="Q86">
        <v>14</v>
      </c>
      <c r="R86">
        <v>788</v>
      </c>
      <c r="S86">
        <v>10</v>
      </c>
      <c r="T86">
        <v>1260</v>
      </c>
      <c r="U86">
        <v>0.494425</v>
      </c>
      <c r="V86">
        <v>4.9917000000000003E-2</v>
      </c>
      <c r="W86">
        <v>3.339E-3</v>
      </c>
      <c r="X86">
        <v>2.7999999999999998E-4</v>
      </c>
      <c r="Y86">
        <v>0.54801200000000005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1616</v>
      </c>
      <c r="I87">
        <v>38.01</v>
      </c>
      <c r="J87" t="s">
        <v>31</v>
      </c>
      <c r="K87">
        <v>600</v>
      </c>
      <c r="L87" t="s">
        <v>32</v>
      </c>
      <c r="M87">
        <v>7</v>
      </c>
      <c r="N87">
        <v>7</v>
      </c>
      <c r="O87">
        <v>4262</v>
      </c>
      <c r="P87">
        <v>10</v>
      </c>
      <c r="Q87">
        <v>14</v>
      </c>
      <c r="R87">
        <v>788</v>
      </c>
      <c r="S87">
        <v>9</v>
      </c>
      <c r="T87">
        <v>1260</v>
      </c>
      <c r="U87">
        <v>0.69728299999999999</v>
      </c>
      <c r="V87">
        <v>4.8410000000000002E-2</v>
      </c>
      <c r="W87">
        <v>3.398E-3</v>
      </c>
      <c r="X87">
        <v>2.7099999999999997E-4</v>
      </c>
      <c r="Y87">
        <v>0.74941400000000002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1616</v>
      </c>
      <c r="I88">
        <v>38.01</v>
      </c>
      <c r="J88" t="s">
        <v>31</v>
      </c>
      <c r="K88">
        <v>600</v>
      </c>
      <c r="L88" t="s">
        <v>32</v>
      </c>
      <c r="M88">
        <v>7</v>
      </c>
      <c r="N88">
        <v>7</v>
      </c>
      <c r="O88">
        <v>4252</v>
      </c>
      <c r="P88">
        <v>0</v>
      </c>
      <c r="Q88">
        <v>14</v>
      </c>
      <c r="R88">
        <v>788</v>
      </c>
      <c r="S88">
        <v>10</v>
      </c>
      <c r="T88">
        <v>1260</v>
      </c>
      <c r="U88">
        <v>0.43806099999999998</v>
      </c>
      <c r="V88">
        <v>4.8839E-2</v>
      </c>
      <c r="W88">
        <v>3.4099999999999998E-3</v>
      </c>
      <c r="X88">
        <v>2.6200000000000003E-4</v>
      </c>
      <c r="Y88">
        <v>0.49062600000000001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1616</v>
      </c>
      <c r="I89">
        <v>38.01</v>
      </c>
      <c r="J89" t="s">
        <v>31</v>
      </c>
      <c r="K89">
        <v>600</v>
      </c>
      <c r="L89" t="s">
        <v>32</v>
      </c>
      <c r="M89">
        <v>7</v>
      </c>
      <c r="N89">
        <v>7</v>
      </c>
      <c r="O89">
        <v>4258</v>
      </c>
      <c r="P89">
        <v>6</v>
      </c>
      <c r="Q89">
        <v>14</v>
      </c>
      <c r="R89">
        <v>788</v>
      </c>
      <c r="S89">
        <v>35</v>
      </c>
      <c r="T89">
        <v>1260</v>
      </c>
      <c r="U89">
        <v>0.40781299999999998</v>
      </c>
      <c r="V89">
        <v>4.8702000000000002E-2</v>
      </c>
      <c r="W89">
        <v>3.32E-3</v>
      </c>
      <c r="X89">
        <v>5.5570000000000003E-3</v>
      </c>
      <c r="Y89">
        <v>0.46544400000000002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1616</v>
      </c>
      <c r="I90">
        <v>38.01</v>
      </c>
      <c r="J90" t="s">
        <v>31</v>
      </c>
      <c r="K90">
        <v>600</v>
      </c>
      <c r="L90" t="s">
        <v>32</v>
      </c>
      <c r="M90">
        <v>7</v>
      </c>
      <c r="N90">
        <v>7</v>
      </c>
      <c r="O90">
        <v>4262</v>
      </c>
      <c r="P90">
        <v>10</v>
      </c>
      <c r="Q90">
        <v>14</v>
      </c>
      <c r="R90">
        <v>788</v>
      </c>
      <c r="S90">
        <v>35</v>
      </c>
      <c r="T90">
        <v>1260</v>
      </c>
      <c r="U90">
        <v>0.48681600000000003</v>
      </c>
      <c r="V90">
        <v>4.8418999999999997E-2</v>
      </c>
      <c r="W90">
        <v>3.3800000000000002E-3</v>
      </c>
      <c r="X90">
        <v>5.6049999999999997E-3</v>
      </c>
      <c r="Y90">
        <v>0.54427000000000003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1616</v>
      </c>
      <c r="I91">
        <v>38.01</v>
      </c>
      <c r="J91" t="s">
        <v>31</v>
      </c>
      <c r="K91">
        <v>600</v>
      </c>
      <c r="L91" t="s">
        <v>32</v>
      </c>
      <c r="M91">
        <v>7</v>
      </c>
      <c r="N91">
        <v>7</v>
      </c>
      <c r="O91">
        <v>4252</v>
      </c>
      <c r="P91">
        <v>0</v>
      </c>
      <c r="Q91">
        <v>14</v>
      </c>
      <c r="R91">
        <v>788</v>
      </c>
      <c r="S91">
        <v>9</v>
      </c>
      <c r="T91">
        <v>1260</v>
      </c>
      <c r="U91">
        <v>0.43632500000000002</v>
      </c>
      <c r="V91">
        <v>4.9506000000000001E-2</v>
      </c>
      <c r="W91">
        <v>3.31E-3</v>
      </c>
      <c r="X91">
        <v>2.63E-4</v>
      </c>
      <c r="Y91">
        <v>0.48945300000000003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1616</v>
      </c>
      <c r="I92">
        <v>38.01</v>
      </c>
      <c r="J92" t="s">
        <v>31</v>
      </c>
      <c r="K92">
        <v>600</v>
      </c>
      <c r="L92" t="s">
        <v>32</v>
      </c>
      <c r="M92">
        <v>7</v>
      </c>
      <c r="N92">
        <v>7</v>
      </c>
      <c r="O92">
        <v>4262</v>
      </c>
      <c r="P92">
        <v>10</v>
      </c>
      <c r="Q92">
        <v>14</v>
      </c>
      <c r="R92">
        <v>788</v>
      </c>
      <c r="S92">
        <v>10</v>
      </c>
      <c r="T92">
        <v>1260</v>
      </c>
      <c r="U92">
        <v>0.47051399999999999</v>
      </c>
      <c r="V92">
        <v>4.9801999999999999E-2</v>
      </c>
      <c r="W92">
        <v>3.3800000000000002E-3</v>
      </c>
      <c r="X92">
        <v>2.6400000000000002E-4</v>
      </c>
      <c r="Y92">
        <v>0.52400999999999998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1616</v>
      </c>
      <c r="I93">
        <v>38.01</v>
      </c>
      <c r="J93" t="s">
        <v>31</v>
      </c>
      <c r="K93">
        <v>600</v>
      </c>
      <c r="L93" t="s">
        <v>32</v>
      </c>
      <c r="M93">
        <v>7</v>
      </c>
      <c r="N93">
        <v>7</v>
      </c>
      <c r="O93">
        <v>4252</v>
      </c>
      <c r="P93">
        <v>0</v>
      </c>
      <c r="Q93">
        <v>14</v>
      </c>
      <c r="R93">
        <v>788</v>
      </c>
      <c r="S93">
        <v>10</v>
      </c>
      <c r="T93">
        <v>1260</v>
      </c>
      <c r="U93">
        <v>0.57353900000000002</v>
      </c>
      <c r="V93">
        <v>4.9709000000000003E-2</v>
      </c>
      <c r="W93">
        <v>3.372E-3</v>
      </c>
      <c r="X93">
        <v>2.6499999999999999E-4</v>
      </c>
      <c r="Y93">
        <v>0.626938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1616</v>
      </c>
      <c r="I94">
        <v>38.01</v>
      </c>
      <c r="J94" t="s">
        <v>31</v>
      </c>
      <c r="K94">
        <v>600</v>
      </c>
      <c r="L94" t="s">
        <v>32</v>
      </c>
      <c r="M94">
        <v>7</v>
      </c>
      <c r="N94">
        <v>7</v>
      </c>
      <c r="O94">
        <v>4252</v>
      </c>
      <c r="P94">
        <v>0</v>
      </c>
      <c r="Q94">
        <v>14</v>
      </c>
      <c r="R94">
        <v>788</v>
      </c>
      <c r="S94">
        <v>10</v>
      </c>
      <c r="T94">
        <v>1260</v>
      </c>
      <c r="U94">
        <v>0.42529400000000001</v>
      </c>
      <c r="V94">
        <v>4.8554E-2</v>
      </c>
      <c r="W94">
        <v>3.3540000000000002E-3</v>
      </c>
      <c r="X94">
        <v>2.7700000000000001E-4</v>
      </c>
      <c r="Y94">
        <v>0.47752699999999998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1616</v>
      </c>
      <c r="I95">
        <v>38.01</v>
      </c>
      <c r="J95" t="s">
        <v>31</v>
      </c>
      <c r="K95">
        <v>600</v>
      </c>
      <c r="L95" t="s">
        <v>32</v>
      </c>
      <c r="M95">
        <v>7</v>
      </c>
      <c r="N95">
        <v>7</v>
      </c>
      <c r="O95">
        <v>4252</v>
      </c>
      <c r="P95">
        <v>0</v>
      </c>
      <c r="Q95">
        <v>14</v>
      </c>
      <c r="R95">
        <v>788</v>
      </c>
      <c r="S95">
        <v>9</v>
      </c>
      <c r="T95">
        <v>1260</v>
      </c>
      <c r="U95">
        <v>0.453065</v>
      </c>
      <c r="V95">
        <v>4.8708000000000001E-2</v>
      </c>
      <c r="W95">
        <v>3.431E-3</v>
      </c>
      <c r="X95">
        <v>2.5900000000000001E-4</v>
      </c>
      <c r="Y95">
        <v>0.50551900000000005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2148</v>
      </c>
      <c r="E96">
        <v>33.56</v>
      </c>
      <c r="F96">
        <v>4252</v>
      </c>
      <c r="G96">
        <v>66.44</v>
      </c>
      <c r="H96">
        <v>1616</v>
      </c>
      <c r="I96">
        <v>38.01</v>
      </c>
      <c r="J96" t="s">
        <v>31</v>
      </c>
      <c r="K96">
        <v>600</v>
      </c>
      <c r="L96" t="s">
        <v>32</v>
      </c>
      <c r="M96">
        <v>7</v>
      </c>
      <c r="N96">
        <v>7</v>
      </c>
      <c r="O96">
        <v>4252</v>
      </c>
      <c r="P96">
        <v>0</v>
      </c>
      <c r="Q96">
        <v>14</v>
      </c>
      <c r="R96">
        <v>788</v>
      </c>
      <c r="S96">
        <v>9</v>
      </c>
      <c r="T96">
        <v>1260</v>
      </c>
      <c r="U96">
        <v>0.64282600000000001</v>
      </c>
      <c r="V96">
        <v>4.9776000000000001E-2</v>
      </c>
      <c r="W96">
        <v>3.3700000000000002E-3</v>
      </c>
      <c r="X96">
        <v>2.5799999999999998E-4</v>
      </c>
      <c r="Y96">
        <v>0.69627799999999995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2148</v>
      </c>
      <c r="E97">
        <v>33.56</v>
      </c>
      <c r="F97">
        <v>4252</v>
      </c>
      <c r="G97">
        <v>66.44</v>
      </c>
      <c r="H97">
        <v>1616</v>
      </c>
      <c r="I97">
        <v>38.01</v>
      </c>
      <c r="J97" t="s">
        <v>31</v>
      </c>
      <c r="K97">
        <v>600</v>
      </c>
      <c r="L97" t="s">
        <v>32</v>
      </c>
      <c r="M97">
        <v>7</v>
      </c>
      <c r="N97">
        <v>7</v>
      </c>
      <c r="O97">
        <v>4252</v>
      </c>
      <c r="P97">
        <v>0</v>
      </c>
      <c r="Q97">
        <v>14</v>
      </c>
      <c r="R97">
        <v>788</v>
      </c>
      <c r="S97">
        <v>10</v>
      </c>
      <c r="T97">
        <v>1260</v>
      </c>
      <c r="U97">
        <v>0.50329199999999996</v>
      </c>
      <c r="V97">
        <v>4.8991E-2</v>
      </c>
      <c r="W97">
        <v>3.336E-3</v>
      </c>
      <c r="X97">
        <v>2.8699999999999998E-4</v>
      </c>
      <c r="Y97">
        <v>0.55595799999999995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2148</v>
      </c>
      <c r="E98">
        <v>33.56</v>
      </c>
      <c r="F98">
        <v>4252</v>
      </c>
      <c r="G98">
        <v>66.44</v>
      </c>
      <c r="H98">
        <v>1616</v>
      </c>
      <c r="I98">
        <v>38.01</v>
      </c>
      <c r="J98" t="s">
        <v>31</v>
      </c>
      <c r="K98">
        <v>600</v>
      </c>
      <c r="L98" t="s">
        <v>32</v>
      </c>
      <c r="M98">
        <v>7</v>
      </c>
      <c r="N98">
        <v>7</v>
      </c>
      <c r="O98">
        <v>4262</v>
      </c>
      <c r="P98">
        <v>10</v>
      </c>
      <c r="Q98">
        <v>14</v>
      </c>
      <c r="R98">
        <v>788</v>
      </c>
      <c r="S98">
        <v>43</v>
      </c>
      <c r="T98">
        <v>1260</v>
      </c>
      <c r="U98">
        <v>0.63370899999999997</v>
      </c>
      <c r="V98">
        <v>4.8619999999999997E-2</v>
      </c>
      <c r="W98">
        <v>3.323E-3</v>
      </c>
      <c r="X98">
        <v>6.0070000000000002E-3</v>
      </c>
      <c r="Y98">
        <v>0.69171199999999999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2148</v>
      </c>
      <c r="E99">
        <v>33.56</v>
      </c>
      <c r="F99">
        <v>4252</v>
      </c>
      <c r="G99">
        <v>66.44</v>
      </c>
      <c r="H99">
        <v>1616</v>
      </c>
      <c r="I99">
        <v>38.01</v>
      </c>
      <c r="J99" t="s">
        <v>31</v>
      </c>
      <c r="K99">
        <v>600</v>
      </c>
      <c r="L99" t="s">
        <v>32</v>
      </c>
      <c r="M99">
        <v>7</v>
      </c>
      <c r="N99">
        <v>7</v>
      </c>
      <c r="O99">
        <v>4264</v>
      </c>
      <c r="P99">
        <v>12</v>
      </c>
      <c r="Q99">
        <v>14</v>
      </c>
      <c r="R99">
        <v>788</v>
      </c>
      <c r="S99">
        <v>37</v>
      </c>
      <c r="T99">
        <v>1260</v>
      </c>
      <c r="U99">
        <v>0.52663300000000002</v>
      </c>
      <c r="V99">
        <v>4.8617E-2</v>
      </c>
      <c r="W99">
        <v>3.2750000000000001E-3</v>
      </c>
      <c r="X99">
        <v>5.8809999999999999E-3</v>
      </c>
      <c r="Y99">
        <v>0.58446100000000001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2148</v>
      </c>
      <c r="E100">
        <v>33.56</v>
      </c>
      <c r="F100">
        <v>4252</v>
      </c>
      <c r="G100">
        <v>66.44</v>
      </c>
      <c r="H100">
        <v>1616</v>
      </c>
      <c r="I100">
        <v>38.01</v>
      </c>
      <c r="J100" t="s">
        <v>31</v>
      </c>
      <c r="K100">
        <v>600</v>
      </c>
      <c r="L100" t="s">
        <v>32</v>
      </c>
      <c r="M100">
        <v>7</v>
      </c>
      <c r="N100">
        <v>7</v>
      </c>
      <c r="O100">
        <v>4260</v>
      </c>
      <c r="P100">
        <v>8</v>
      </c>
      <c r="Q100">
        <v>14</v>
      </c>
      <c r="R100">
        <v>788</v>
      </c>
      <c r="S100">
        <v>37</v>
      </c>
      <c r="T100">
        <v>1260</v>
      </c>
      <c r="U100">
        <v>0.46835599999999999</v>
      </c>
      <c r="V100">
        <v>4.9882999999999997E-2</v>
      </c>
      <c r="W100">
        <v>3.3670000000000002E-3</v>
      </c>
      <c r="X100">
        <v>6.0889999999999998E-3</v>
      </c>
      <c r="Y100">
        <v>0.52775399999999995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2148</v>
      </c>
      <c r="E101">
        <v>33.56</v>
      </c>
      <c r="F101">
        <v>4252</v>
      </c>
      <c r="G101">
        <v>66.44</v>
      </c>
      <c r="H101">
        <v>1616</v>
      </c>
      <c r="I101">
        <v>38.01</v>
      </c>
      <c r="J101" t="s">
        <v>31</v>
      </c>
      <c r="K101">
        <v>600</v>
      </c>
      <c r="L101" t="s">
        <v>32</v>
      </c>
      <c r="M101">
        <v>7</v>
      </c>
      <c r="N101">
        <v>7</v>
      </c>
      <c r="O101">
        <v>4252</v>
      </c>
      <c r="P101">
        <v>0</v>
      </c>
      <c r="Q101">
        <v>14</v>
      </c>
      <c r="R101">
        <v>788</v>
      </c>
      <c r="S101">
        <v>9</v>
      </c>
      <c r="T101">
        <v>1260</v>
      </c>
      <c r="U101">
        <v>0.55852400000000002</v>
      </c>
      <c r="V101">
        <v>4.9759999999999999E-2</v>
      </c>
      <c r="W101">
        <v>3.287E-3</v>
      </c>
      <c r="X101">
        <v>2.72E-4</v>
      </c>
      <c r="Y101">
        <v>0.61189199999999999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7</v>
      </c>
      <c r="O102">
        <f>AVERAGE(Tabella1[cumulative_energy_used_by_uavs])</f>
        <v>4256.0600000000004</v>
      </c>
      <c r="P102">
        <f>AVERAGE(Tabella1[cumulative_energy_wasted_by_uavs])</f>
        <v>4.0599999999999996</v>
      </c>
      <c r="Q102">
        <f>AVERAGE(Tabella1[cumulative_number_of_batteries_used_by_uavs])</f>
        <v>14</v>
      </c>
      <c r="R102">
        <f>AVERAGE(Tabella1[mission_time_seconds])</f>
        <v>788</v>
      </c>
      <c r="S102">
        <f>AVERAGE(Tabella1[bsss_mission_time_seconds])</f>
        <v>21.05</v>
      </c>
      <c r="T102">
        <f>AVERAGE(Tabella1[cumulative_swap_time_seconds])</f>
        <v>1260</v>
      </c>
      <c r="U102">
        <f>AVERAGE(Tabella1[darp_execution_time_seconds])</f>
        <v>0.53926799000000003</v>
      </c>
      <c r="V102">
        <f>AVERAGE(Tabella1[stc_execution_time_seconds])</f>
        <v>4.9471029999999978E-2</v>
      </c>
      <c r="W102">
        <f>AVERAGE(Tabella1[pp_uavs_execution_time_seconds])</f>
        <v>3.4171599999999998E-3</v>
      </c>
      <c r="X102">
        <f>AVERAGE(Tabella1[pp_bsss_execution_time_seconds])</f>
        <v>2.650060000000001E-3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1A7A-E09C-B241-A2D1-E0DA7D300AF3}">
  <dimension ref="A1:G703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RowHeight="16" x14ac:dyDescent="0.2"/>
  <cols>
    <col min="1" max="3" width="11" customWidth="1"/>
  </cols>
  <sheetData>
    <row r="1" spans="1:7" x14ac:dyDescent="0.2">
      <c r="A1" t="s">
        <v>40</v>
      </c>
      <c r="B1">
        <v>600</v>
      </c>
      <c r="E1" t="s">
        <v>41</v>
      </c>
      <c r="F1" t="s">
        <v>42</v>
      </c>
      <c r="G1" t="s">
        <v>43</v>
      </c>
    </row>
    <row r="2" spans="1:7" x14ac:dyDescent="0.2">
      <c r="E2" t="s">
        <v>33</v>
      </c>
      <c r="F2" s="1">
        <f>AVERAGEIF(Tabella2[Colonna1],$E2,Tabella2[Colonna2])/$B$1</f>
        <v>1</v>
      </c>
      <c r="G2" s="1">
        <f>AVERAGEIF(Tabella2[Colonna1],$E2,Tabella2[Colonna3])/$B$1</f>
        <v>1.2133333333333335E-2</v>
      </c>
    </row>
    <row r="3" spans="1:7" x14ac:dyDescent="0.2">
      <c r="A3" t="s">
        <v>44</v>
      </c>
      <c r="B3" t="s">
        <v>45</v>
      </c>
      <c r="C3" t="s">
        <v>46</v>
      </c>
      <c r="E3" t="s">
        <v>34</v>
      </c>
      <c r="F3" s="1">
        <f>AVERAGEIF(Tabella2[Colonna1],$E3,Tabella2[Colonna2])/$B$1</f>
        <v>1</v>
      </c>
      <c r="G3" s="1">
        <f>AVERAGEIF(Tabella2[Colonna1],$E3,Tabella2[Colonna3])/$B$1</f>
        <v>1.2066666666666667E-2</v>
      </c>
    </row>
    <row r="4" spans="1:7" x14ac:dyDescent="0.2">
      <c r="A4" t="s">
        <v>33</v>
      </c>
      <c r="B4">
        <v>600</v>
      </c>
      <c r="C4">
        <v>8</v>
      </c>
      <c r="E4" t="s">
        <v>35</v>
      </c>
      <c r="F4" s="1">
        <f>AVERAGEIF(Tabella2[Colonna1],$E4,Tabella2[Colonna2])/$B$1</f>
        <v>1</v>
      </c>
      <c r="G4" s="1">
        <f>AVERAGEIF(Tabella2[Colonna1],$E4,Tabella2[Colonna3])/$B$1</f>
        <v>1.2666666666666666E-2</v>
      </c>
    </row>
    <row r="5" spans="1:7" x14ac:dyDescent="0.2">
      <c r="A5" t="s">
        <v>33</v>
      </c>
      <c r="B5">
        <v>600</v>
      </c>
      <c r="C5">
        <v>8</v>
      </c>
      <c r="E5" t="s">
        <v>36</v>
      </c>
      <c r="F5" s="1">
        <f>AVERAGEIF(Tabella2[Colonna1],$E5,Tabella2[Colonna2])/$B$1</f>
        <v>0.99836666666666662</v>
      </c>
      <c r="G5" s="1">
        <f>AVERAGEIF(Tabella2[Colonna1],$E5,Tabella2[Colonna3])/$B$1</f>
        <v>1.3966666666666667E-2</v>
      </c>
    </row>
    <row r="6" spans="1:7" x14ac:dyDescent="0.2">
      <c r="A6" t="s">
        <v>33</v>
      </c>
      <c r="B6">
        <v>600</v>
      </c>
      <c r="C6">
        <v>8</v>
      </c>
      <c r="E6" t="s">
        <v>37</v>
      </c>
      <c r="F6" s="1">
        <f>AVERAGEIF(Tabella2[Colonna1],$E6,Tabella2[Colonna2])/$B$1</f>
        <v>1</v>
      </c>
      <c r="G6" s="1">
        <f>AVERAGEIF(Tabella2[Colonna1],$E6,Tabella2[Colonna3])/$B$1</f>
        <v>1.2466666666666668E-2</v>
      </c>
    </row>
    <row r="7" spans="1:7" x14ac:dyDescent="0.2">
      <c r="A7" t="s">
        <v>33</v>
      </c>
      <c r="B7">
        <v>600</v>
      </c>
      <c r="C7">
        <v>8</v>
      </c>
      <c r="E7" t="s">
        <v>38</v>
      </c>
      <c r="F7" s="1">
        <f>AVERAGEIF(Tabella2[Colonna1],$E7,Tabella2[Colonna2])/$B$1</f>
        <v>1</v>
      </c>
      <c r="G7" s="1">
        <f>AVERAGEIF(Tabella2[Colonna1],$E7,Tabella2[Colonna3])/$B$1</f>
        <v>1.2333333333333333E-2</v>
      </c>
    </row>
    <row r="8" spans="1:7" x14ac:dyDescent="0.2">
      <c r="A8" t="s">
        <v>33</v>
      </c>
      <c r="B8">
        <v>600</v>
      </c>
      <c r="C8">
        <v>4</v>
      </c>
      <c r="E8" t="s">
        <v>39</v>
      </c>
      <c r="F8" s="1">
        <f>AVERAGEIF(Tabella2[Colonna1],$E8,Tabella2[Colonna2])/$B$1</f>
        <v>0.99486666666666657</v>
      </c>
      <c r="G8" s="1">
        <f>AVERAGEIF(Tabella2[Colonna1],$E8,Tabella2[Colonna3])/$B$1</f>
        <v>1.78E-2</v>
      </c>
    </row>
    <row r="9" spans="1:7" x14ac:dyDescent="0.2">
      <c r="A9" t="s">
        <v>33</v>
      </c>
      <c r="B9">
        <v>600</v>
      </c>
      <c r="C9">
        <v>8</v>
      </c>
      <c r="F9" s="2">
        <f>AVERAGE(F2:F8)</f>
        <v>0.99903333333333333</v>
      </c>
      <c r="G9" s="2">
        <f>AVERAGE(G2:G8)</f>
        <v>1.3347619047619047E-2</v>
      </c>
    </row>
    <row r="10" spans="1:7" x14ac:dyDescent="0.2">
      <c r="A10" t="s">
        <v>33</v>
      </c>
      <c r="B10">
        <v>600</v>
      </c>
      <c r="C10">
        <v>8</v>
      </c>
    </row>
    <row r="11" spans="1:7" x14ac:dyDescent="0.2">
      <c r="A11" t="s">
        <v>33</v>
      </c>
      <c r="B11">
        <v>600</v>
      </c>
      <c r="C11">
        <v>8</v>
      </c>
    </row>
    <row r="12" spans="1:7" x14ac:dyDescent="0.2">
      <c r="A12" t="s">
        <v>33</v>
      </c>
      <c r="B12">
        <v>600</v>
      </c>
      <c r="C12">
        <v>8</v>
      </c>
    </row>
    <row r="13" spans="1:7" x14ac:dyDescent="0.2">
      <c r="A13" t="s">
        <v>33</v>
      </c>
      <c r="B13">
        <v>600</v>
      </c>
      <c r="C13">
        <v>4</v>
      </c>
    </row>
    <row r="14" spans="1:7" x14ac:dyDescent="0.2">
      <c r="A14" t="s">
        <v>33</v>
      </c>
      <c r="B14">
        <v>600</v>
      </c>
      <c r="C14">
        <v>8</v>
      </c>
    </row>
    <row r="15" spans="1:7" x14ac:dyDescent="0.2">
      <c r="A15" t="s">
        <v>33</v>
      </c>
      <c r="B15">
        <v>600</v>
      </c>
      <c r="C15">
        <v>8</v>
      </c>
    </row>
    <row r="16" spans="1:7" x14ac:dyDescent="0.2">
      <c r="A16" t="s">
        <v>33</v>
      </c>
      <c r="B16">
        <v>600</v>
      </c>
      <c r="C16">
        <v>8</v>
      </c>
    </row>
    <row r="17" spans="1:3" x14ac:dyDescent="0.2">
      <c r="A17" t="s">
        <v>33</v>
      </c>
      <c r="B17">
        <v>600</v>
      </c>
      <c r="C17">
        <v>8</v>
      </c>
    </row>
    <row r="18" spans="1:3" x14ac:dyDescent="0.2">
      <c r="A18" t="s">
        <v>33</v>
      </c>
      <c r="B18">
        <v>600</v>
      </c>
      <c r="C18">
        <v>8</v>
      </c>
    </row>
    <row r="19" spans="1:3" x14ac:dyDescent="0.2">
      <c r="A19" t="s">
        <v>33</v>
      </c>
      <c r="B19">
        <v>600</v>
      </c>
      <c r="C19">
        <v>8</v>
      </c>
    </row>
    <row r="20" spans="1:3" x14ac:dyDescent="0.2">
      <c r="A20" t="s">
        <v>33</v>
      </c>
      <c r="B20">
        <v>600</v>
      </c>
      <c r="C20">
        <v>8</v>
      </c>
    </row>
    <row r="21" spans="1:3" x14ac:dyDescent="0.2">
      <c r="A21" t="s">
        <v>33</v>
      </c>
      <c r="B21">
        <v>600</v>
      </c>
      <c r="C21">
        <v>8</v>
      </c>
    </row>
    <row r="22" spans="1:3" x14ac:dyDescent="0.2">
      <c r="A22" t="s">
        <v>33</v>
      </c>
      <c r="B22">
        <v>600</v>
      </c>
      <c r="C22">
        <v>8</v>
      </c>
    </row>
    <row r="23" spans="1:3" x14ac:dyDescent="0.2">
      <c r="A23" t="s">
        <v>33</v>
      </c>
      <c r="B23">
        <v>600</v>
      </c>
      <c r="C23">
        <v>8</v>
      </c>
    </row>
    <row r="24" spans="1:3" x14ac:dyDescent="0.2">
      <c r="A24" t="s">
        <v>33</v>
      </c>
      <c r="B24">
        <v>600</v>
      </c>
      <c r="C24">
        <v>8</v>
      </c>
    </row>
    <row r="25" spans="1:3" x14ac:dyDescent="0.2">
      <c r="A25" t="s">
        <v>33</v>
      </c>
      <c r="B25">
        <v>600</v>
      </c>
      <c r="C25">
        <v>4</v>
      </c>
    </row>
    <row r="26" spans="1:3" x14ac:dyDescent="0.2">
      <c r="A26" t="s">
        <v>33</v>
      </c>
      <c r="B26">
        <v>600</v>
      </c>
      <c r="C26">
        <v>8</v>
      </c>
    </row>
    <row r="27" spans="1:3" x14ac:dyDescent="0.2">
      <c r="A27" t="s">
        <v>33</v>
      </c>
      <c r="B27">
        <v>600</v>
      </c>
      <c r="C27">
        <v>4</v>
      </c>
    </row>
    <row r="28" spans="1:3" x14ac:dyDescent="0.2">
      <c r="A28" t="s">
        <v>33</v>
      </c>
      <c r="B28">
        <v>600</v>
      </c>
      <c r="C28">
        <v>8</v>
      </c>
    </row>
    <row r="29" spans="1:3" x14ac:dyDescent="0.2">
      <c r="A29" t="s">
        <v>33</v>
      </c>
      <c r="B29">
        <v>600</v>
      </c>
      <c r="C29">
        <v>8</v>
      </c>
    </row>
    <row r="30" spans="1:3" x14ac:dyDescent="0.2">
      <c r="A30" t="s">
        <v>33</v>
      </c>
      <c r="B30">
        <v>600</v>
      </c>
      <c r="C30">
        <v>8</v>
      </c>
    </row>
    <row r="31" spans="1:3" x14ac:dyDescent="0.2">
      <c r="A31" t="s">
        <v>33</v>
      </c>
      <c r="B31">
        <v>600</v>
      </c>
      <c r="C31">
        <v>4</v>
      </c>
    </row>
    <row r="32" spans="1:3" x14ac:dyDescent="0.2">
      <c r="A32" t="s">
        <v>33</v>
      </c>
      <c r="B32">
        <v>600</v>
      </c>
      <c r="C32">
        <v>8</v>
      </c>
    </row>
    <row r="33" spans="1:3" x14ac:dyDescent="0.2">
      <c r="A33" t="s">
        <v>33</v>
      </c>
      <c r="B33">
        <v>600</v>
      </c>
      <c r="C33">
        <v>8</v>
      </c>
    </row>
    <row r="34" spans="1:3" x14ac:dyDescent="0.2">
      <c r="A34" t="s">
        <v>33</v>
      </c>
      <c r="B34">
        <v>600</v>
      </c>
      <c r="C34">
        <v>4</v>
      </c>
    </row>
    <row r="35" spans="1:3" x14ac:dyDescent="0.2">
      <c r="A35" t="s">
        <v>33</v>
      </c>
      <c r="B35">
        <v>600</v>
      </c>
      <c r="C35">
        <v>8</v>
      </c>
    </row>
    <row r="36" spans="1:3" x14ac:dyDescent="0.2">
      <c r="A36" t="s">
        <v>33</v>
      </c>
      <c r="B36">
        <v>600</v>
      </c>
      <c r="C36">
        <v>8</v>
      </c>
    </row>
    <row r="37" spans="1:3" x14ac:dyDescent="0.2">
      <c r="A37" t="s">
        <v>33</v>
      </c>
      <c r="B37">
        <v>600</v>
      </c>
      <c r="C37">
        <v>8</v>
      </c>
    </row>
    <row r="38" spans="1:3" x14ac:dyDescent="0.2">
      <c r="A38" t="s">
        <v>33</v>
      </c>
      <c r="B38">
        <v>600</v>
      </c>
      <c r="C38">
        <v>8</v>
      </c>
    </row>
    <row r="39" spans="1:3" x14ac:dyDescent="0.2">
      <c r="A39" t="s">
        <v>33</v>
      </c>
      <c r="B39">
        <v>600</v>
      </c>
      <c r="C39">
        <v>8</v>
      </c>
    </row>
    <row r="40" spans="1:3" x14ac:dyDescent="0.2">
      <c r="A40" t="s">
        <v>33</v>
      </c>
      <c r="B40">
        <v>600</v>
      </c>
      <c r="C40">
        <v>8</v>
      </c>
    </row>
    <row r="41" spans="1:3" x14ac:dyDescent="0.2">
      <c r="A41" t="s">
        <v>33</v>
      </c>
      <c r="B41">
        <v>600</v>
      </c>
      <c r="C41">
        <v>8</v>
      </c>
    </row>
    <row r="42" spans="1:3" x14ac:dyDescent="0.2">
      <c r="A42" t="s">
        <v>33</v>
      </c>
      <c r="B42">
        <v>600</v>
      </c>
      <c r="C42">
        <v>8</v>
      </c>
    </row>
    <row r="43" spans="1:3" x14ac:dyDescent="0.2">
      <c r="A43" t="s">
        <v>33</v>
      </c>
      <c r="B43">
        <v>600</v>
      </c>
      <c r="C43">
        <v>8</v>
      </c>
    </row>
    <row r="44" spans="1:3" x14ac:dyDescent="0.2">
      <c r="A44" t="s">
        <v>33</v>
      </c>
      <c r="B44">
        <v>600</v>
      </c>
      <c r="C44">
        <v>8</v>
      </c>
    </row>
    <row r="45" spans="1:3" x14ac:dyDescent="0.2">
      <c r="A45" t="s">
        <v>33</v>
      </c>
      <c r="B45">
        <v>600</v>
      </c>
      <c r="C45">
        <v>8</v>
      </c>
    </row>
    <row r="46" spans="1:3" x14ac:dyDescent="0.2">
      <c r="A46" t="s">
        <v>33</v>
      </c>
      <c r="B46">
        <v>600</v>
      </c>
      <c r="C46">
        <v>8</v>
      </c>
    </row>
    <row r="47" spans="1:3" x14ac:dyDescent="0.2">
      <c r="A47" t="s">
        <v>33</v>
      </c>
      <c r="B47">
        <v>600</v>
      </c>
      <c r="C47">
        <v>8</v>
      </c>
    </row>
    <row r="48" spans="1:3" x14ac:dyDescent="0.2">
      <c r="A48" t="s">
        <v>33</v>
      </c>
      <c r="B48">
        <v>600</v>
      </c>
      <c r="C48">
        <v>8</v>
      </c>
    </row>
    <row r="49" spans="1:3" x14ac:dyDescent="0.2">
      <c r="A49" t="s">
        <v>33</v>
      </c>
      <c r="B49">
        <v>600</v>
      </c>
      <c r="C49">
        <v>8</v>
      </c>
    </row>
    <row r="50" spans="1:3" x14ac:dyDescent="0.2">
      <c r="A50" t="s">
        <v>33</v>
      </c>
      <c r="B50">
        <v>600</v>
      </c>
      <c r="C50">
        <v>8</v>
      </c>
    </row>
    <row r="51" spans="1:3" x14ac:dyDescent="0.2">
      <c r="A51" t="s">
        <v>33</v>
      </c>
      <c r="B51">
        <v>600</v>
      </c>
      <c r="C51">
        <v>8</v>
      </c>
    </row>
    <row r="52" spans="1:3" x14ac:dyDescent="0.2">
      <c r="A52" t="s">
        <v>33</v>
      </c>
      <c r="B52">
        <v>600</v>
      </c>
      <c r="C52">
        <v>4</v>
      </c>
    </row>
    <row r="53" spans="1:3" x14ac:dyDescent="0.2">
      <c r="A53" t="s">
        <v>33</v>
      </c>
      <c r="B53">
        <v>600</v>
      </c>
      <c r="C53">
        <v>8</v>
      </c>
    </row>
    <row r="54" spans="1:3" x14ac:dyDescent="0.2">
      <c r="A54" t="s">
        <v>33</v>
      </c>
      <c r="B54">
        <v>600</v>
      </c>
      <c r="C54">
        <v>4</v>
      </c>
    </row>
    <row r="55" spans="1:3" x14ac:dyDescent="0.2">
      <c r="A55" t="s">
        <v>33</v>
      </c>
      <c r="B55">
        <v>600</v>
      </c>
      <c r="C55">
        <v>8</v>
      </c>
    </row>
    <row r="56" spans="1:3" x14ac:dyDescent="0.2">
      <c r="A56" t="s">
        <v>33</v>
      </c>
      <c r="B56">
        <v>600</v>
      </c>
      <c r="C56">
        <v>4</v>
      </c>
    </row>
    <row r="57" spans="1:3" x14ac:dyDescent="0.2">
      <c r="A57" t="s">
        <v>33</v>
      </c>
      <c r="B57">
        <v>600</v>
      </c>
      <c r="C57">
        <v>8</v>
      </c>
    </row>
    <row r="58" spans="1:3" x14ac:dyDescent="0.2">
      <c r="A58" t="s">
        <v>33</v>
      </c>
      <c r="B58">
        <v>600</v>
      </c>
      <c r="C58">
        <v>8</v>
      </c>
    </row>
    <row r="59" spans="1:3" x14ac:dyDescent="0.2">
      <c r="A59" t="s">
        <v>33</v>
      </c>
      <c r="B59">
        <v>600</v>
      </c>
      <c r="C59">
        <v>8</v>
      </c>
    </row>
    <row r="60" spans="1:3" x14ac:dyDescent="0.2">
      <c r="A60" t="s">
        <v>33</v>
      </c>
      <c r="B60">
        <v>600</v>
      </c>
      <c r="C60">
        <v>8</v>
      </c>
    </row>
    <row r="61" spans="1:3" x14ac:dyDescent="0.2">
      <c r="A61" t="s">
        <v>33</v>
      </c>
      <c r="B61">
        <v>600</v>
      </c>
      <c r="C61">
        <v>8</v>
      </c>
    </row>
    <row r="62" spans="1:3" x14ac:dyDescent="0.2">
      <c r="A62" t="s">
        <v>33</v>
      </c>
      <c r="B62">
        <v>600</v>
      </c>
      <c r="C62">
        <v>8</v>
      </c>
    </row>
    <row r="63" spans="1:3" x14ac:dyDescent="0.2">
      <c r="A63" t="s">
        <v>33</v>
      </c>
      <c r="B63">
        <v>600</v>
      </c>
      <c r="C63">
        <v>8</v>
      </c>
    </row>
    <row r="64" spans="1:3" x14ac:dyDescent="0.2">
      <c r="A64" t="s">
        <v>33</v>
      </c>
      <c r="B64">
        <v>600</v>
      </c>
      <c r="C64">
        <v>8</v>
      </c>
    </row>
    <row r="65" spans="1:3" x14ac:dyDescent="0.2">
      <c r="A65" t="s">
        <v>33</v>
      </c>
      <c r="B65">
        <v>600</v>
      </c>
      <c r="C65">
        <v>8</v>
      </c>
    </row>
    <row r="66" spans="1:3" x14ac:dyDescent="0.2">
      <c r="A66" t="s">
        <v>33</v>
      </c>
      <c r="B66">
        <v>600</v>
      </c>
      <c r="C66">
        <v>8</v>
      </c>
    </row>
    <row r="67" spans="1:3" x14ac:dyDescent="0.2">
      <c r="A67" t="s">
        <v>33</v>
      </c>
      <c r="B67">
        <v>600</v>
      </c>
      <c r="C67">
        <v>4</v>
      </c>
    </row>
    <row r="68" spans="1:3" x14ac:dyDescent="0.2">
      <c r="A68" t="s">
        <v>33</v>
      </c>
      <c r="B68">
        <v>600</v>
      </c>
      <c r="C68">
        <v>8</v>
      </c>
    </row>
    <row r="69" spans="1:3" x14ac:dyDescent="0.2">
      <c r="A69" t="s">
        <v>33</v>
      </c>
      <c r="B69">
        <v>600</v>
      </c>
      <c r="C69">
        <v>8</v>
      </c>
    </row>
    <row r="70" spans="1:3" x14ac:dyDescent="0.2">
      <c r="A70" t="s">
        <v>33</v>
      </c>
      <c r="B70">
        <v>600</v>
      </c>
      <c r="C70">
        <v>8</v>
      </c>
    </row>
    <row r="71" spans="1:3" x14ac:dyDescent="0.2">
      <c r="A71" t="s">
        <v>33</v>
      </c>
      <c r="B71">
        <v>600</v>
      </c>
      <c r="C71">
        <v>8</v>
      </c>
    </row>
    <row r="72" spans="1:3" x14ac:dyDescent="0.2">
      <c r="A72" t="s">
        <v>33</v>
      </c>
      <c r="B72">
        <v>600</v>
      </c>
      <c r="C72">
        <v>8</v>
      </c>
    </row>
    <row r="73" spans="1:3" x14ac:dyDescent="0.2">
      <c r="A73" t="s">
        <v>33</v>
      </c>
      <c r="B73">
        <v>600</v>
      </c>
      <c r="C73">
        <v>4</v>
      </c>
    </row>
    <row r="74" spans="1:3" x14ac:dyDescent="0.2">
      <c r="A74" t="s">
        <v>33</v>
      </c>
      <c r="B74">
        <v>600</v>
      </c>
      <c r="C74">
        <v>8</v>
      </c>
    </row>
    <row r="75" spans="1:3" x14ac:dyDescent="0.2">
      <c r="A75" t="s">
        <v>33</v>
      </c>
      <c r="B75">
        <v>600</v>
      </c>
      <c r="C75">
        <v>4</v>
      </c>
    </row>
    <row r="76" spans="1:3" x14ac:dyDescent="0.2">
      <c r="A76" t="s">
        <v>33</v>
      </c>
      <c r="B76">
        <v>600</v>
      </c>
      <c r="C76">
        <v>8</v>
      </c>
    </row>
    <row r="77" spans="1:3" x14ac:dyDescent="0.2">
      <c r="A77" t="s">
        <v>33</v>
      </c>
      <c r="B77">
        <v>600</v>
      </c>
      <c r="C77">
        <v>8</v>
      </c>
    </row>
    <row r="78" spans="1:3" x14ac:dyDescent="0.2">
      <c r="A78" t="s">
        <v>33</v>
      </c>
      <c r="B78">
        <v>600</v>
      </c>
      <c r="C78">
        <v>8</v>
      </c>
    </row>
    <row r="79" spans="1:3" x14ac:dyDescent="0.2">
      <c r="A79" t="s">
        <v>33</v>
      </c>
      <c r="B79">
        <v>600</v>
      </c>
      <c r="C79">
        <v>8</v>
      </c>
    </row>
    <row r="80" spans="1:3" x14ac:dyDescent="0.2">
      <c r="A80" t="s">
        <v>33</v>
      </c>
      <c r="B80">
        <v>600</v>
      </c>
      <c r="C80">
        <v>8</v>
      </c>
    </row>
    <row r="81" spans="1:3" x14ac:dyDescent="0.2">
      <c r="A81" t="s">
        <v>33</v>
      </c>
      <c r="B81">
        <v>600</v>
      </c>
      <c r="C81">
        <v>4</v>
      </c>
    </row>
    <row r="82" spans="1:3" x14ac:dyDescent="0.2">
      <c r="A82" t="s">
        <v>33</v>
      </c>
      <c r="B82">
        <v>600</v>
      </c>
      <c r="C82">
        <v>8</v>
      </c>
    </row>
    <row r="83" spans="1:3" x14ac:dyDescent="0.2">
      <c r="A83" t="s">
        <v>33</v>
      </c>
      <c r="B83">
        <v>600</v>
      </c>
      <c r="C83">
        <v>8</v>
      </c>
    </row>
    <row r="84" spans="1:3" x14ac:dyDescent="0.2">
      <c r="A84" t="s">
        <v>33</v>
      </c>
      <c r="B84">
        <v>600</v>
      </c>
      <c r="C84">
        <v>8</v>
      </c>
    </row>
    <row r="85" spans="1:3" x14ac:dyDescent="0.2">
      <c r="A85" t="s">
        <v>33</v>
      </c>
      <c r="B85">
        <v>600</v>
      </c>
      <c r="C85">
        <v>8</v>
      </c>
    </row>
    <row r="86" spans="1:3" x14ac:dyDescent="0.2">
      <c r="A86" t="s">
        <v>33</v>
      </c>
      <c r="B86">
        <v>600</v>
      </c>
      <c r="C86">
        <v>8</v>
      </c>
    </row>
    <row r="87" spans="1:3" x14ac:dyDescent="0.2">
      <c r="A87" t="s">
        <v>33</v>
      </c>
      <c r="B87">
        <v>600</v>
      </c>
      <c r="C87">
        <v>4</v>
      </c>
    </row>
    <row r="88" spans="1:3" x14ac:dyDescent="0.2">
      <c r="A88" t="s">
        <v>33</v>
      </c>
      <c r="B88">
        <v>600</v>
      </c>
      <c r="C88">
        <v>8</v>
      </c>
    </row>
    <row r="89" spans="1:3" x14ac:dyDescent="0.2">
      <c r="A89" t="s">
        <v>33</v>
      </c>
      <c r="B89">
        <v>600</v>
      </c>
      <c r="C89">
        <v>4</v>
      </c>
    </row>
    <row r="90" spans="1:3" x14ac:dyDescent="0.2">
      <c r="A90" t="s">
        <v>33</v>
      </c>
      <c r="B90">
        <v>600</v>
      </c>
      <c r="C90">
        <v>8</v>
      </c>
    </row>
    <row r="91" spans="1:3" x14ac:dyDescent="0.2">
      <c r="A91" t="s">
        <v>33</v>
      </c>
      <c r="B91">
        <v>600</v>
      </c>
      <c r="C91">
        <v>4</v>
      </c>
    </row>
    <row r="92" spans="1:3" x14ac:dyDescent="0.2">
      <c r="A92" t="s">
        <v>33</v>
      </c>
      <c r="B92">
        <v>600</v>
      </c>
      <c r="C92">
        <v>4</v>
      </c>
    </row>
    <row r="93" spans="1:3" x14ac:dyDescent="0.2">
      <c r="A93" t="s">
        <v>33</v>
      </c>
      <c r="B93">
        <v>600</v>
      </c>
      <c r="C93">
        <v>4</v>
      </c>
    </row>
    <row r="94" spans="1:3" x14ac:dyDescent="0.2">
      <c r="A94" t="s">
        <v>33</v>
      </c>
      <c r="B94">
        <v>600</v>
      </c>
      <c r="C94">
        <v>8</v>
      </c>
    </row>
    <row r="95" spans="1:3" x14ac:dyDescent="0.2">
      <c r="A95" t="s">
        <v>33</v>
      </c>
      <c r="B95">
        <v>600</v>
      </c>
      <c r="C95">
        <v>8</v>
      </c>
    </row>
    <row r="96" spans="1:3" x14ac:dyDescent="0.2">
      <c r="A96" t="s">
        <v>33</v>
      </c>
      <c r="B96">
        <v>600</v>
      </c>
      <c r="C96">
        <v>8</v>
      </c>
    </row>
    <row r="97" spans="1:3" x14ac:dyDescent="0.2">
      <c r="A97" t="s">
        <v>33</v>
      </c>
      <c r="B97">
        <v>600</v>
      </c>
      <c r="C97">
        <v>8</v>
      </c>
    </row>
    <row r="98" spans="1:3" x14ac:dyDescent="0.2">
      <c r="A98" t="s">
        <v>33</v>
      </c>
      <c r="B98">
        <v>600</v>
      </c>
      <c r="C98">
        <v>8</v>
      </c>
    </row>
    <row r="99" spans="1:3" x14ac:dyDescent="0.2">
      <c r="A99" t="s">
        <v>33</v>
      </c>
      <c r="B99">
        <v>600</v>
      </c>
      <c r="C99">
        <v>8</v>
      </c>
    </row>
    <row r="100" spans="1:3" x14ac:dyDescent="0.2">
      <c r="A100" t="s">
        <v>33</v>
      </c>
      <c r="B100">
        <v>600</v>
      </c>
      <c r="C100">
        <v>8</v>
      </c>
    </row>
    <row r="101" spans="1:3" x14ac:dyDescent="0.2">
      <c r="A101" t="s">
        <v>33</v>
      </c>
      <c r="B101">
        <v>600</v>
      </c>
      <c r="C101">
        <v>8</v>
      </c>
    </row>
    <row r="102" spans="1:3" x14ac:dyDescent="0.2">
      <c r="A102" t="s">
        <v>33</v>
      </c>
      <c r="B102">
        <v>600</v>
      </c>
      <c r="C102">
        <v>8</v>
      </c>
    </row>
    <row r="103" spans="1:3" x14ac:dyDescent="0.2">
      <c r="A103" t="s">
        <v>33</v>
      </c>
      <c r="B103">
        <v>600</v>
      </c>
      <c r="C103">
        <v>8</v>
      </c>
    </row>
    <row r="104" spans="1:3" x14ac:dyDescent="0.2">
      <c r="A104" t="s">
        <v>34</v>
      </c>
      <c r="B104">
        <v>600</v>
      </c>
      <c r="C104">
        <v>4</v>
      </c>
    </row>
    <row r="105" spans="1:3" x14ac:dyDescent="0.2">
      <c r="A105" t="s">
        <v>34</v>
      </c>
      <c r="B105">
        <v>600</v>
      </c>
      <c r="C105">
        <v>4</v>
      </c>
    </row>
    <row r="106" spans="1:3" x14ac:dyDescent="0.2">
      <c r="A106" t="s">
        <v>34</v>
      </c>
      <c r="B106">
        <v>600</v>
      </c>
      <c r="C106">
        <v>8</v>
      </c>
    </row>
    <row r="107" spans="1:3" x14ac:dyDescent="0.2">
      <c r="A107" t="s">
        <v>34</v>
      </c>
      <c r="B107">
        <v>600</v>
      </c>
      <c r="C107">
        <v>8</v>
      </c>
    </row>
    <row r="108" spans="1:3" x14ac:dyDescent="0.2">
      <c r="A108" t="s">
        <v>34</v>
      </c>
      <c r="B108">
        <v>600</v>
      </c>
      <c r="C108">
        <v>8</v>
      </c>
    </row>
    <row r="109" spans="1:3" x14ac:dyDescent="0.2">
      <c r="A109" t="s">
        <v>34</v>
      </c>
      <c r="B109">
        <v>600</v>
      </c>
      <c r="C109">
        <v>8</v>
      </c>
    </row>
    <row r="110" spans="1:3" x14ac:dyDescent="0.2">
      <c r="A110" t="s">
        <v>34</v>
      </c>
      <c r="B110">
        <v>600</v>
      </c>
      <c r="C110">
        <v>8</v>
      </c>
    </row>
    <row r="111" spans="1:3" x14ac:dyDescent="0.2">
      <c r="A111" t="s">
        <v>34</v>
      </c>
      <c r="B111">
        <v>600</v>
      </c>
      <c r="C111">
        <v>8</v>
      </c>
    </row>
    <row r="112" spans="1:3" x14ac:dyDescent="0.2">
      <c r="A112" t="s">
        <v>34</v>
      </c>
      <c r="B112">
        <v>600</v>
      </c>
      <c r="C112">
        <v>8</v>
      </c>
    </row>
    <row r="113" spans="1:3" x14ac:dyDescent="0.2">
      <c r="A113" t="s">
        <v>34</v>
      </c>
      <c r="B113">
        <v>600</v>
      </c>
      <c r="C113">
        <v>8</v>
      </c>
    </row>
    <row r="114" spans="1:3" x14ac:dyDescent="0.2">
      <c r="A114" t="s">
        <v>34</v>
      </c>
      <c r="B114">
        <v>600</v>
      </c>
      <c r="C114">
        <v>8</v>
      </c>
    </row>
    <row r="115" spans="1:3" x14ac:dyDescent="0.2">
      <c r="A115" t="s">
        <v>34</v>
      </c>
      <c r="B115">
        <v>600</v>
      </c>
      <c r="C115">
        <v>8</v>
      </c>
    </row>
    <row r="116" spans="1:3" x14ac:dyDescent="0.2">
      <c r="A116" t="s">
        <v>34</v>
      </c>
      <c r="B116">
        <v>600</v>
      </c>
      <c r="C116">
        <v>8</v>
      </c>
    </row>
    <row r="117" spans="1:3" x14ac:dyDescent="0.2">
      <c r="A117" t="s">
        <v>34</v>
      </c>
      <c r="B117">
        <v>600</v>
      </c>
      <c r="C117">
        <v>4</v>
      </c>
    </row>
    <row r="118" spans="1:3" x14ac:dyDescent="0.2">
      <c r="A118" t="s">
        <v>34</v>
      </c>
      <c r="B118">
        <v>600</v>
      </c>
      <c r="C118">
        <v>8</v>
      </c>
    </row>
    <row r="119" spans="1:3" x14ac:dyDescent="0.2">
      <c r="A119" t="s">
        <v>34</v>
      </c>
      <c r="B119">
        <v>600</v>
      </c>
      <c r="C119">
        <v>8</v>
      </c>
    </row>
    <row r="120" spans="1:3" x14ac:dyDescent="0.2">
      <c r="A120" t="s">
        <v>34</v>
      </c>
      <c r="B120">
        <v>600</v>
      </c>
      <c r="C120">
        <v>4</v>
      </c>
    </row>
    <row r="121" spans="1:3" x14ac:dyDescent="0.2">
      <c r="A121" t="s">
        <v>34</v>
      </c>
      <c r="B121">
        <v>600</v>
      </c>
      <c r="C121">
        <v>4</v>
      </c>
    </row>
    <row r="122" spans="1:3" x14ac:dyDescent="0.2">
      <c r="A122" t="s">
        <v>34</v>
      </c>
      <c r="B122">
        <v>600</v>
      </c>
      <c r="C122">
        <v>8</v>
      </c>
    </row>
    <row r="123" spans="1:3" x14ac:dyDescent="0.2">
      <c r="A123" t="s">
        <v>34</v>
      </c>
      <c r="B123">
        <v>600</v>
      </c>
      <c r="C123">
        <v>8</v>
      </c>
    </row>
    <row r="124" spans="1:3" x14ac:dyDescent="0.2">
      <c r="A124" t="s">
        <v>34</v>
      </c>
      <c r="B124">
        <v>600</v>
      </c>
      <c r="C124">
        <v>8</v>
      </c>
    </row>
    <row r="125" spans="1:3" x14ac:dyDescent="0.2">
      <c r="A125" t="s">
        <v>34</v>
      </c>
      <c r="B125">
        <v>600</v>
      </c>
      <c r="C125">
        <v>8</v>
      </c>
    </row>
    <row r="126" spans="1:3" x14ac:dyDescent="0.2">
      <c r="A126" t="s">
        <v>34</v>
      </c>
      <c r="B126">
        <v>600</v>
      </c>
      <c r="C126">
        <v>8</v>
      </c>
    </row>
    <row r="127" spans="1:3" x14ac:dyDescent="0.2">
      <c r="A127" t="s">
        <v>34</v>
      </c>
      <c r="B127">
        <v>600</v>
      </c>
      <c r="C127">
        <v>8</v>
      </c>
    </row>
    <row r="128" spans="1:3" x14ac:dyDescent="0.2">
      <c r="A128" t="s">
        <v>34</v>
      </c>
      <c r="B128">
        <v>600</v>
      </c>
      <c r="C128">
        <v>8</v>
      </c>
    </row>
    <row r="129" spans="1:3" x14ac:dyDescent="0.2">
      <c r="A129" t="s">
        <v>34</v>
      </c>
      <c r="B129">
        <v>600</v>
      </c>
      <c r="C129">
        <v>4</v>
      </c>
    </row>
    <row r="130" spans="1:3" x14ac:dyDescent="0.2">
      <c r="A130" t="s">
        <v>34</v>
      </c>
      <c r="B130">
        <v>600</v>
      </c>
      <c r="C130">
        <v>4</v>
      </c>
    </row>
    <row r="131" spans="1:3" x14ac:dyDescent="0.2">
      <c r="A131" t="s">
        <v>34</v>
      </c>
      <c r="B131">
        <v>600</v>
      </c>
      <c r="C131">
        <v>8</v>
      </c>
    </row>
    <row r="132" spans="1:3" x14ac:dyDescent="0.2">
      <c r="A132" t="s">
        <v>34</v>
      </c>
      <c r="B132">
        <v>600</v>
      </c>
      <c r="C132">
        <v>4</v>
      </c>
    </row>
    <row r="133" spans="1:3" x14ac:dyDescent="0.2">
      <c r="A133" t="s">
        <v>34</v>
      </c>
      <c r="B133">
        <v>600</v>
      </c>
      <c r="C133">
        <v>4</v>
      </c>
    </row>
    <row r="134" spans="1:3" x14ac:dyDescent="0.2">
      <c r="A134" t="s">
        <v>34</v>
      </c>
      <c r="B134">
        <v>600</v>
      </c>
      <c r="C134">
        <v>8</v>
      </c>
    </row>
    <row r="135" spans="1:3" x14ac:dyDescent="0.2">
      <c r="A135" t="s">
        <v>34</v>
      </c>
      <c r="B135">
        <v>600</v>
      </c>
      <c r="C135">
        <v>8</v>
      </c>
    </row>
    <row r="136" spans="1:3" x14ac:dyDescent="0.2">
      <c r="A136" t="s">
        <v>34</v>
      </c>
      <c r="B136">
        <v>600</v>
      </c>
      <c r="C136">
        <v>4</v>
      </c>
    </row>
    <row r="137" spans="1:3" x14ac:dyDescent="0.2">
      <c r="A137" t="s">
        <v>34</v>
      </c>
      <c r="B137">
        <v>600</v>
      </c>
      <c r="C137">
        <v>8</v>
      </c>
    </row>
    <row r="138" spans="1:3" x14ac:dyDescent="0.2">
      <c r="A138" t="s">
        <v>34</v>
      </c>
      <c r="B138">
        <v>600</v>
      </c>
      <c r="C138">
        <v>8</v>
      </c>
    </row>
    <row r="139" spans="1:3" x14ac:dyDescent="0.2">
      <c r="A139" t="s">
        <v>34</v>
      </c>
      <c r="B139">
        <v>600</v>
      </c>
      <c r="C139">
        <v>8</v>
      </c>
    </row>
    <row r="140" spans="1:3" x14ac:dyDescent="0.2">
      <c r="A140" t="s">
        <v>34</v>
      </c>
      <c r="B140">
        <v>600</v>
      </c>
      <c r="C140">
        <v>8</v>
      </c>
    </row>
    <row r="141" spans="1:3" x14ac:dyDescent="0.2">
      <c r="A141" t="s">
        <v>34</v>
      </c>
      <c r="B141">
        <v>600</v>
      </c>
      <c r="C141">
        <v>8</v>
      </c>
    </row>
    <row r="142" spans="1:3" x14ac:dyDescent="0.2">
      <c r="A142" t="s">
        <v>34</v>
      </c>
      <c r="B142">
        <v>600</v>
      </c>
      <c r="C142">
        <v>8</v>
      </c>
    </row>
    <row r="143" spans="1:3" x14ac:dyDescent="0.2">
      <c r="A143" t="s">
        <v>34</v>
      </c>
      <c r="B143">
        <v>600</v>
      </c>
      <c r="C143">
        <v>8</v>
      </c>
    </row>
    <row r="144" spans="1:3" x14ac:dyDescent="0.2">
      <c r="A144" t="s">
        <v>34</v>
      </c>
      <c r="B144">
        <v>600</v>
      </c>
      <c r="C144">
        <v>4</v>
      </c>
    </row>
    <row r="145" spans="1:3" x14ac:dyDescent="0.2">
      <c r="A145" t="s">
        <v>34</v>
      </c>
      <c r="B145">
        <v>600</v>
      </c>
      <c r="C145">
        <v>8</v>
      </c>
    </row>
    <row r="146" spans="1:3" x14ac:dyDescent="0.2">
      <c r="A146" t="s">
        <v>34</v>
      </c>
      <c r="B146">
        <v>600</v>
      </c>
      <c r="C146">
        <v>8</v>
      </c>
    </row>
    <row r="147" spans="1:3" x14ac:dyDescent="0.2">
      <c r="A147" t="s">
        <v>34</v>
      </c>
      <c r="B147">
        <v>600</v>
      </c>
      <c r="C147">
        <v>8</v>
      </c>
    </row>
    <row r="148" spans="1:3" x14ac:dyDescent="0.2">
      <c r="A148" t="s">
        <v>34</v>
      </c>
      <c r="B148">
        <v>600</v>
      </c>
      <c r="C148">
        <v>8</v>
      </c>
    </row>
    <row r="149" spans="1:3" x14ac:dyDescent="0.2">
      <c r="A149" t="s">
        <v>34</v>
      </c>
      <c r="B149">
        <v>600</v>
      </c>
      <c r="C149">
        <v>8</v>
      </c>
    </row>
    <row r="150" spans="1:3" x14ac:dyDescent="0.2">
      <c r="A150" t="s">
        <v>34</v>
      </c>
      <c r="B150">
        <v>600</v>
      </c>
      <c r="C150">
        <v>8</v>
      </c>
    </row>
    <row r="151" spans="1:3" x14ac:dyDescent="0.2">
      <c r="A151" t="s">
        <v>34</v>
      </c>
      <c r="B151">
        <v>600</v>
      </c>
      <c r="C151">
        <v>8</v>
      </c>
    </row>
    <row r="152" spans="1:3" x14ac:dyDescent="0.2">
      <c r="A152" t="s">
        <v>34</v>
      </c>
      <c r="B152">
        <v>600</v>
      </c>
      <c r="C152">
        <v>8</v>
      </c>
    </row>
    <row r="153" spans="1:3" x14ac:dyDescent="0.2">
      <c r="A153" t="s">
        <v>34</v>
      </c>
      <c r="B153">
        <v>600</v>
      </c>
      <c r="C153">
        <v>8</v>
      </c>
    </row>
    <row r="154" spans="1:3" x14ac:dyDescent="0.2">
      <c r="A154" t="s">
        <v>34</v>
      </c>
      <c r="B154">
        <v>600</v>
      </c>
      <c r="C154">
        <v>8</v>
      </c>
    </row>
    <row r="155" spans="1:3" x14ac:dyDescent="0.2">
      <c r="A155" t="s">
        <v>34</v>
      </c>
      <c r="B155">
        <v>600</v>
      </c>
      <c r="C155">
        <v>8</v>
      </c>
    </row>
    <row r="156" spans="1:3" x14ac:dyDescent="0.2">
      <c r="A156" t="s">
        <v>34</v>
      </c>
      <c r="B156">
        <v>600</v>
      </c>
      <c r="C156">
        <v>8</v>
      </c>
    </row>
    <row r="157" spans="1:3" x14ac:dyDescent="0.2">
      <c r="A157" t="s">
        <v>34</v>
      </c>
      <c r="B157">
        <v>600</v>
      </c>
      <c r="C157">
        <v>8</v>
      </c>
    </row>
    <row r="158" spans="1:3" x14ac:dyDescent="0.2">
      <c r="A158" t="s">
        <v>34</v>
      </c>
      <c r="B158">
        <v>600</v>
      </c>
      <c r="C158">
        <v>8</v>
      </c>
    </row>
    <row r="159" spans="1:3" x14ac:dyDescent="0.2">
      <c r="A159" t="s">
        <v>34</v>
      </c>
      <c r="B159">
        <v>600</v>
      </c>
      <c r="C159">
        <v>8</v>
      </c>
    </row>
    <row r="160" spans="1:3" x14ac:dyDescent="0.2">
      <c r="A160" t="s">
        <v>34</v>
      </c>
      <c r="B160">
        <v>600</v>
      </c>
      <c r="C160">
        <v>8</v>
      </c>
    </row>
    <row r="161" spans="1:3" x14ac:dyDescent="0.2">
      <c r="A161" t="s">
        <v>34</v>
      </c>
      <c r="B161">
        <v>600</v>
      </c>
      <c r="C161">
        <v>4</v>
      </c>
    </row>
    <row r="162" spans="1:3" x14ac:dyDescent="0.2">
      <c r="A162" t="s">
        <v>34</v>
      </c>
      <c r="B162">
        <v>600</v>
      </c>
      <c r="C162">
        <v>8</v>
      </c>
    </row>
    <row r="163" spans="1:3" x14ac:dyDescent="0.2">
      <c r="A163" t="s">
        <v>34</v>
      </c>
      <c r="B163">
        <v>600</v>
      </c>
      <c r="C163">
        <v>8</v>
      </c>
    </row>
    <row r="164" spans="1:3" x14ac:dyDescent="0.2">
      <c r="A164" t="s">
        <v>34</v>
      </c>
      <c r="B164">
        <v>600</v>
      </c>
      <c r="C164">
        <v>4</v>
      </c>
    </row>
    <row r="165" spans="1:3" x14ac:dyDescent="0.2">
      <c r="A165" t="s">
        <v>34</v>
      </c>
      <c r="B165">
        <v>600</v>
      </c>
      <c r="C165">
        <v>4</v>
      </c>
    </row>
    <row r="166" spans="1:3" x14ac:dyDescent="0.2">
      <c r="A166" t="s">
        <v>34</v>
      </c>
      <c r="B166">
        <v>600</v>
      </c>
      <c r="C166">
        <v>8</v>
      </c>
    </row>
    <row r="167" spans="1:3" x14ac:dyDescent="0.2">
      <c r="A167" t="s">
        <v>34</v>
      </c>
      <c r="B167">
        <v>600</v>
      </c>
      <c r="C167">
        <v>8</v>
      </c>
    </row>
    <row r="168" spans="1:3" x14ac:dyDescent="0.2">
      <c r="A168" t="s">
        <v>34</v>
      </c>
      <c r="B168">
        <v>600</v>
      </c>
      <c r="C168">
        <v>8</v>
      </c>
    </row>
    <row r="169" spans="1:3" x14ac:dyDescent="0.2">
      <c r="A169" t="s">
        <v>34</v>
      </c>
      <c r="B169">
        <v>600</v>
      </c>
      <c r="C169">
        <v>8</v>
      </c>
    </row>
    <row r="170" spans="1:3" x14ac:dyDescent="0.2">
      <c r="A170" t="s">
        <v>34</v>
      </c>
      <c r="B170">
        <v>600</v>
      </c>
      <c r="C170">
        <v>8</v>
      </c>
    </row>
    <row r="171" spans="1:3" x14ac:dyDescent="0.2">
      <c r="A171" t="s">
        <v>34</v>
      </c>
      <c r="B171">
        <v>600</v>
      </c>
      <c r="C171">
        <v>8</v>
      </c>
    </row>
    <row r="172" spans="1:3" x14ac:dyDescent="0.2">
      <c r="A172" t="s">
        <v>34</v>
      </c>
      <c r="B172">
        <v>600</v>
      </c>
      <c r="C172">
        <v>8</v>
      </c>
    </row>
    <row r="173" spans="1:3" x14ac:dyDescent="0.2">
      <c r="A173" t="s">
        <v>34</v>
      </c>
      <c r="B173">
        <v>600</v>
      </c>
      <c r="C173">
        <v>8</v>
      </c>
    </row>
    <row r="174" spans="1:3" x14ac:dyDescent="0.2">
      <c r="A174" t="s">
        <v>34</v>
      </c>
      <c r="B174">
        <v>600</v>
      </c>
      <c r="C174">
        <v>8</v>
      </c>
    </row>
    <row r="175" spans="1:3" x14ac:dyDescent="0.2">
      <c r="A175" t="s">
        <v>34</v>
      </c>
      <c r="B175">
        <v>600</v>
      </c>
      <c r="C175">
        <v>8</v>
      </c>
    </row>
    <row r="176" spans="1:3" x14ac:dyDescent="0.2">
      <c r="A176" t="s">
        <v>34</v>
      </c>
      <c r="B176">
        <v>600</v>
      </c>
      <c r="C176">
        <v>8</v>
      </c>
    </row>
    <row r="177" spans="1:3" x14ac:dyDescent="0.2">
      <c r="A177" t="s">
        <v>34</v>
      </c>
      <c r="B177">
        <v>600</v>
      </c>
      <c r="C177">
        <v>8</v>
      </c>
    </row>
    <row r="178" spans="1:3" x14ac:dyDescent="0.2">
      <c r="A178" t="s">
        <v>34</v>
      </c>
      <c r="B178">
        <v>600</v>
      </c>
      <c r="C178">
        <v>8</v>
      </c>
    </row>
    <row r="179" spans="1:3" x14ac:dyDescent="0.2">
      <c r="A179" t="s">
        <v>34</v>
      </c>
      <c r="B179">
        <v>600</v>
      </c>
      <c r="C179">
        <v>8</v>
      </c>
    </row>
    <row r="180" spans="1:3" x14ac:dyDescent="0.2">
      <c r="A180" t="s">
        <v>34</v>
      </c>
      <c r="B180">
        <v>600</v>
      </c>
      <c r="C180">
        <v>8</v>
      </c>
    </row>
    <row r="181" spans="1:3" x14ac:dyDescent="0.2">
      <c r="A181" t="s">
        <v>34</v>
      </c>
      <c r="B181">
        <v>600</v>
      </c>
      <c r="C181">
        <v>8</v>
      </c>
    </row>
    <row r="182" spans="1:3" x14ac:dyDescent="0.2">
      <c r="A182" t="s">
        <v>34</v>
      </c>
      <c r="B182">
        <v>600</v>
      </c>
      <c r="C182">
        <v>4</v>
      </c>
    </row>
    <row r="183" spans="1:3" x14ac:dyDescent="0.2">
      <c r="A183" t="s">
        <v>34</v>
      </c>
      <c r="B183">
        <v>600</v>
      </c>
      <c r="C183">
        <v>8</v>
      </c>
    </row>
    <row r="184" spans="1:3" x14ac:dyDescent="0.2">
      <c r="A184" t="s">
        <v>34</v>
      </c>
      <c r="B184">
        <v>600</v>
      </c>
      <c r="C184">
        <v>8</v>
      </c>
    </row>
    <row r="185" spans="1:3" x14ac:dyDescent="0.2">
      <c r="A185" t="s">
        <v>34</v>
      </c>
      <c r="B185">
        <v>600</v>
      </c>
      <c r="C185">
        <v>8</v>
      </c>
    </row>
    <row r="186" spans="1:3" x14ac:dyDescent="0.2">
      <c r="A186" t="s">
        <v>34</v>
      </c>
      <c r="B186">
        <v>600</v>
      </c>
      <c r="C186">
        <v>8</v>
      </c>
    </row>
    <row r="187" spans="1:3" x14ac:dyDescent="0.2">
      <c r="A187" t="s">
        <v>34</v>
      </c>
      <c r="B187">
        <v>600</v>
      </c>
      <c r="C187">
        <v>8</v>
      </c>
    </row>
    <row r="188" spans="1:3" x14ac:dyDescent="0.2">
      <c r="A188" t="s">
        <v>34</v>
      </c>
      <c r="B188">
        <v>600</v>
      </c>
      <c r="C188">
        <v>8</v>
      </c>
    </row>
    <row r="189" spans="1:3" x14ac:dyDescent="0.2">
      <c r="A189" t="s">
        <v>34</v>
      </c>
      <c r="B189">
        <v>600</v>
      </c>
      <c r="C189">
        <v>8</v>
      </c>
    </row>
    <row r="190" spans="1:3" x14ac:dyDescent="0.2">
      <c r="A190" t="s">
        <v>34</v>
      </c>
      <c r="B190">
        <v>600</v>
      </c>
      <c r="C190">
        <v>8</v>
      </c>
    </row>
    <row r="191" spans="1:3" x14ac:dyDescent="0.2">
      <c r="A191" t="s">
        <v>34</v>
      </c>
      <c r="B191">
        <v>600</v>
      </c>
      <c r="C191">
        <v>8</v>
      </c>
    </row>
    <row r="192" spans="1:3" x14ac:dyDescent="0.2">
      <c r="A192" t="s">
        <v>34</v>
      </c>
      <c r="B192">
        <v>600</v>
      </c>
      <c r="C192">
        <v>8</v>
      </c>
    </row>
    <row r="193" spans="1:3" x14ac:dyDescent="0.2">
      <c r="A193" t="s">
        <v>34</v>
      </c>
      <c r="B193">
        <v>600</v>
      </c>
      <c r="C193">
        <v>8</v>
      </c>
    </row>
    <row r="194" spans="1:3" x14ac:dyDescent="0.2">
      <c r="A194" t="s">
        <v>34</v>
      </c>
      <c r="B194">
        <v>600</v>
      </c>
      <c r="C194">
        <v>8</v>
      </c>
    </row>
    <row r="195" spans="1:3" x14ac:dyDescent="0.2">
      <c r="A195" t="s">
        <v>34</v>
      </c>
      <c r="B195">
        <v>600</v>
      </c>
      <c r="C195">
        <v>8</v>
      </c>
    </row>
    <row r="196" spans="1:3" x14ac:dyDescent="0.2">
      <c r="A196" t="s">
        <v>34</v>
      </c>
      <c r="B196">
        <v>600</v>
      </c>
      <c r="C196">
        <v>8</v>
      </c>
    </row>
    <row r="197" spans="1:3" x14ac:dyDescent="0.2">
      <c r="A197" t="s">
        <v>34</v>
      </c>
      <c r="B197">
        <v>600</v>
      </c>
      <c r="C197">
        <v>4</v>
      </c>
    </row>
    <row r="198" spans="1:3" x14ac:dyDescent="0.2">
      <c r="A198" t="s">
        <v>34</v>
      </c>
      <c r="B198">
        <v>600</v>
      </c>
      <c r="C198">
        <v>4</v>
      </c>
    </row>
    <row r="199" spans="1:3" x14ac:dyDescent="0.2">
      <c r="A199" t="s">
        <v>34</v>
      </c>
      <c r="B199">
        <v>600</v>
      </c>
      <c r="C199">
        <v>4</v>
      </c>
    </row>
    <row r="200" spans="1:3" x14ac:dyDescent="0.2">
      <c r="A200" t="s">
        <v>34</v>
      </c>
      <c r="B200">
        <v>600</v>
      </c>
      <c r="C200">
        <v>8</v>
      </c>
    </row>
    <row r="201" spans="1:3" x14ac:dyDescent="0.2">
      <c r="A201" t="s">
        <v>34</v>
      </c>
      <c r="B201">
        <v>600</v>
      </c>
      <c r="C201">
        <v>4</v>
      </c>
    </row>
    <row r="202" spans="1:3" x14ac:dyDescent="0.2">
      <c r="A202" t="s">
        <v>34</v>
      </c>
      <c r="B202">
        <v>600</v>
      </c>
      <c r="C202">
        <v>8</v>
      </c>
    </row>
    <row r="203" spans="1:3" x14ac:dyDescent="0.2">
      <c r="A203" t="s">
        <v>34</v>
      </c>
      <c r="B203">
        <v>600</v>
      </c>
      <c r="C203">
        <v>8</v>
      </c>
    </row>
    <row r="204" spans="1:3" x14ac:dyDescent="0.2">
      <c r="A204" t="s">
        <v>35</v>
      </c>
      <c r="B204">
        <v>600</v>
      </c>
      <c r="C204">
        <v>8</v>
      </c>
    </row>
    <row r="205" spans="1:3" x14ac:dyDescent="0.2">
      <c r="A205" t="s">
        <v>35</v>
      </c>
      <c r="B205">
        <v>600</v>
      </c>
      <c r="C205">
        <v>8</v>
      </c>
    </row>
    <row r="206" spans="1:3" x14ac:dyDescent="0.2">
      <c r="A206" t="s">
        <v>35</v>
      </c>
      <c r="B206">
        <v>600</v>
      </c>
      <c r="C206">
        <v>8</v>
      </c>
    </row>
    <row r="207" spans="1:3" x14ac:dyDescent="0.2">
      <c r="A207" t="s">
        <v>35</v>
      </c>
      <c r="B207">
        <v>600</v>
      </c>
      <c r="C207">
        <v>8</v>
      </c>
    </row>
    <row r="208" spans="1:3" x14ac:dyDescent="0.2">
      <c r="A208" t="s">
        <v>35</v>
      </c>
      <c r="B208">
        <v>600</v>
      </c>
      <c r="C208">
        <v>8</v>
      </c>
    </row>
    <row r="209" spans="1:3" x14ac:dyDescent="0.2">
      <c r="A209" t="s">
        <v>35</v>
      </c>
      <c r="B209">
        <v>600</v>
      </c>
      <c r="C209">
        <v>4</v>
      </c>
    </row>
    <row r="210" spans="1:3" x14ac:dyDescent="0.2">
      <c r="A210" t="s">
        <v>35</v>
      </c>
      <c r="B210">
        <v>600</v>
      </c>
      <c r="C210">
        <v>8</v>
      </c>
    </row>
    <row r="211" spans="1:3" x14ac:dyDescent="0.2">
      <c r="A211" t="s">
        <v>35</v>
      </c>
      <c r="B211">
        <v>600</v>
      </c>
      <c r="C211">
        <v>8</v>
      </c>
    </row>
    <row r="212" spans="1:3" x14ac:dyDescent="0.2">
      <c r="A212" t="s">
        <v>35</v>
      </c>
      <c r="B212">
        <v>600</v>
      </c>
      <c r="C212">
        <v>8</v>
      </c>
    </row>
    <row r="213" spans="1:3" x14ac:dyDescent="0.2">
      <c r="A213" t="s">
        <v>35</v>
      </c>
      <c r="B213">
        <v>600</v>
      </c>
      <c r="C213">
        <v>8</v>
      </c>
    </row>
    <row r="214" spans="1:3" x14ac:dyDescent="0.2">
      <c r="A214" t="s">
        <v>35</v>
      </c>
      <c r="B214">
        <v>600</v>
      </c>
      <c r="C214">
        <v>4</v>
      </c>
    </row>
    <row r="215" spans="1:3" x14ac:dyDescent="0.2">
      <c r="A215" t="s">
        <v>35</v>
      </c>
      <c r="B215">
        <v>600</v>
      </c>
      <c r="C215">
        <v>8</v>
      </c>
    </row>
    <row r="216" spans="1:3" x14ac:dyDescent="0.2">
      <c r="A216" t="s">
        <v>35</v>
      </c>
      <c r="B216">
        <v>600</v>
      </c>
      <c r="C216">
        <v>8</v>
      </c>
    </row>
    <row r="217" spans="1:3" x14ac:dyDescent="0.2">
      <c r="A217" t="s">
        <v>35</v>
      </c>
      <c r="B217">
        <v>600</v>
      </c>
      <c r="C217">
        <v>8</v>
      </c>
    </row>
    <row r="218" spans="1:3" x14ac:dyDescent="0.2">
      <c r="A218" t="s">
        <v>35</v>
      </c>
      <c r="B218">
        <v>600</v>
      </c>
      <c r="C218">
        <v>8</v>
      </c>
    </row>
    <row r="219" spans="1:3" x14ac:dyDescent="0.2">
      <c r="A219" t="s">
        <v>35</v>
      </c>
      <c r="B219">
        <v>600</v>
      </c>
      <c r="C219">
        <v>8</v>
      </c>
    </row>
    <row r="220" spans="1:3" x14ac:dyDescent="0.2">
      <c r="A220" t="s">
        <v>35</v>
      </c>
      <c r="B220">
        <v>600</v>
      </c>
      <c r="C220">
        <v>8</v>
      </c>
    </row>
    <row r="221" spans="1:3" x14ac:dyDescent="0.2">
      <c r="A221" t="s">
        <v>35</v>
      </c>
      <c r="B221">
        <v>600</v>
      </c>
      <c r="C221">
        <v>8</v>
      </c>
    </row>
    <row r="222" spans="1:3" x14ac:dyDescent="0.2">
      <c r="A222" t="s">
        <v>35</v>
      </c>
      <c r="B222">
        <v>600</v>
      </c>
      <c r="C222">
        <v>8</v>
      </c>
    </row>
    <row r="223" spans="1:3" x14ac:dyDescent="0.2">
      <c r="A223" t="s">
        <v>35</v>
      </c>
      <c r="B223">
        <v>600</v>
      </c>
      <c r="C223">
        <v>8</v>
      </c>
    </row>
    <row r="224" spans="1:3" x14ac:dyDescent="0.2">
      <c r="A224" t="s">
        <v>35</v>
      </c>
      <c r="B224">
        <v>600</v>
      </c>
      <c r="C224">
        <v>8</v>
      </c>
    </row>
    <row r="225" spans="1:3" x14ac:dyDescent="0.2">
      <c r="A225" t="s">
        <v>35</v>
      </c>
      <c r="B225">
        <v>600</v>
      </c>
      <c r="C225">
        <v>8</v>
      </c>
    </row>
    <row r="226" spans="1:3" x14ac:dyDescent="0.2">
      <c r="A226" t="s">
        <v>35</v>
      </c>
      <c r="B226">
        <v>600</v>
      </c>
      <c r="C226">
        <v>8</v>
      </c>
    </row>
    <row r="227" spans="1:3" x14ac:dyDescent="0.2">
      <c r="A227" t="s">
        <v>35</v>
      </c>
      <c r="B227">
        <v>600</v>
      </c>
      <c r="C227">
        <v>8</v>
      </c>
    </row>
    <row r="228" spans="1:3" x14ac:dyDescent="0.2">
      <c r="A228" t="s">
        <v>35</v>
      </c>
      <c r="B228">
        <v>600</v>
      </c>
      <c r="C228">
        <v>8</v>
      </c>
    </row>
    <row r="229" spans="1:3" x14ac:dyDescent="0.2">
      <c r="A229" t="s">
        <v>35</v>
      </c>
      <c r="B229">
        <v>600</v>
      </c>
      <c r="C229">
        <v>8</v>
      </c>
    </row>
    <row r="230" spans="1:3" x14ac:dyDescent="0.2">
      <c r="A230" t="s">
        <v>35</v>
      </c>
      <c r="B230">
        <v>600</v>
      </c>
      <c r="C230">
        <v>8</v>
      </c>
    </row>
    <row r="231" spans="1:3" x14ac:dyDescent="0.2">
      <c r="A231" t="s">
        <v>35</v>
      </c>
      <c r="B231">
        <v>600</v>
      </c>
      <c r="C231">
        <v>8</v>
      </c>
    </row>
    <row r="232" spans="1:3" x14ac:dyDescent="0.2">
      <c r="A232" t="s">
        <v>35</v>
      </c>
      <c r="B232">
        <v>600</v>
      </c>
      <c r="C232">
        <v>8</v>
      </c>
    </row>
    <row r="233" spans="1:3" x14ac:dyDescent="0.2">
      <c r="A233" t="s">
        <v>35</v>
      </c>
      <c r="B233">
        <v>600</v>
      </c>
      <c r="C233">
        <v>8</v>
      </c>
    </row>
    <row r="234" spans="1:3" x14ac:dyDescent="0.2">
      <c r="A234" t="s">
        <v>35</v>
      </c>
      <c r="B234">
        <v>600</v>
      </c>
      <c r="C234">
        <v>8</v>
      </c>
    </row>
    <row r="235" spans="1:3" x14ac:dyDescent="0.2">
      <c r="A235" t="s">
        <v>35</v>
      </c>
      <c r="B235">
        <v>600</v>
      </c>
      <c r="C235">
        <v>8</v>
      </c>
    </row>
    <row r="236" spans="1:3" x14ac:dyDescent="0.2">
      <c r="A236" t="s">
        <v>35</v>
      </c>
      <c r="B236">
        <v>600</v>
      </c>
      <c r="C236">
        <v>8</v>
      </c>
    </row>
    <row r="237" spans="1:3" x14ac:dyDescent="0.2">
      <c r="A237" t="s">
        <v>35</v>
      </c>
      <c r="B237">
        <v>600</v>
      </c>
      <c r="C237">
        <v>8</v>
      </c>
    </row>
    <row r="238" spans="1:3" x14ac:dyDescent="0.2">
      <c r="A238" t="s">
        <v>35</v>
      </c>
      <c r="B238">
        <v>600</v>
      </c>
      <c r="C238">
        <v>8</v>
      </c>
    </row>
    <row r="239" spans="1:3" x14ac:dyDescent="0.2">
      <c r="A239" t="s">
        <v>35</v>
      </c>
      <c r="B239">
        <v>600</v>
      </c>
      <c r="C239">
        <v>8</v>
      </c>
    </row>
    <row r="240" spans="1:3" x14ac:dyDescent="0.2">
      <c r="A240" t="s">
        <v>35</v>
      </c>
      <c r="B240">
        <v>600</v>
      </c>
      <c r="C240">
        <v>8</v>
      </c>
    </row>
    <row r="241" spans="1:3" x14ac:dyDescent="0.2">
      <c r="A241" t="s">
        <v>35</v>
      </c>
      <c r="B241">
        <v>600</v>
      </c>
      <c r="C241">
        <v>8</v>
      </c>
    </row>
    <row r="242" spans="1:3" x14ac:dyDescent="0.2">
      <c r="A242" t="s">
        <v>35</v>
      </c>
      <c r="B242">
        <v>600</v>
      </c>
      <c r="C242">
        <v>8</v>
      </c>
    </row>
    <row r="243" spans="1:3" x14ac:dyDescent="0.2">
      <c r="A243" t="s">
        <v>35</v>
      </c>
      <c r="B243">
        <v>600</v>
      </c>
      <c r="C243">
        <v>4</v>
      </c>
    </row>
    <row r="244" spans="1:3" x14ac:dyDescent="0.2">
      <c r="A244" t="s">
        <v>35</v>
      </c>
      <c r="B244">
        <v>600</v>
      </c>
      <c r="C244">
        <v>8</v>
      </c>
    </row>
    <row r="245" spans="1:3" x14ac:dyDescent="0.2">
      <c r="A245" t="s">
        <v>35</v>
      </c>
      <c r="B245">
        <v>600</v>
      </c>
      <c r="C245">
        <v>4</v>
      </c>
    </row>
    <row r="246" spans="1:3" x14ac:dyDescent="0.2">
      <c r="A246" t="s">
        <v>35</v>
      </c>
      <c r="B246">
        <v>600</v>
      </c>
      <c r="C246">
        <v>4</v>
      </c>
    </row>
    <row r="247" spans="1:3" x14ac:dyDescent="0.2">
      <c r="A247" t="s">
        <v>35</v>
      </c>
      <c r="B247">
        <v>600</v>
      </c>
      <c r="C247">
        <v>8</v>
      </c>
    </row>
    <row r="248" spans="1:3" x14ac:dyDescent="0.2">
      <c r="A248" t="s">
        <v>35</v>
      </c>
      <c r="B248">
        <v>600</v>
      </c>
      <c r="C248">
        <v>8</v>
      </c>
    </row>
    <row r="249" spans="1:3" x14ac:dyDescent="0.2">
      <c r="A249" t="s">
        <v>35</v>
      </c>
      <c r="B249">
        <v>600</v>
      </c>
      <c r="C249">
        <v>8</v>
      </c>
    </row>
    <row r="250" spans="1:3" x14ac:dyDescent="0.2">
      <c r="A250" t="s">
        <v>35</v>
      </c>
      <c r="B250">
        <v>600</v>
      </c>
      <c r="C250">
        <v>8</v>
      </c>
    </row>
    <row r="251" spans="1:3" x14ac:dyDescent="0.2">
      <c r="A251" t="s">
        <v>35</v>
      </c>
      <c r="B251">
        <v>600</v>
      </c>
      <c r="C251">
        <v>8</v>
      </c>
    </row>
    <row r="252" spans="1:3" x14ac:dyDescent="0.2">
      <c r="A252" t="s">
        <v>35</v>
      </c>
      <c r="B252">
        <v>600</v>
      </c>
      <c r="C252">
        <v>8</v>
      </c>
    </row>
    <row r="253" spans="1:3" x14ac:dyDescent="0.2">
      <c r="A253" t="s">
        <v>35</v>
      </c>
      <c r="B253">
        <v>600</v>
      </c>
      <c r="C253">
        <v>8</v>
      </c>
    </row>
    <row r="254" spans="1:3" x14ac:dyDescent="0.2">
      <c r="A254" t="s">
        <v>35</v>
      </c>
      <c r="B254">
        <v>600</v>
      </c>
      <c r="C254">
        <v>8</v>
      </c>
    </row>
    <row r="255" spans="1:3" x14ac:dyDescent="0.2">
      <c r="A255" t="s">
        <v>35</v>
      </c>
      <c r="B255">
        <v>600</v>
      </c>
      <c r="C255">
        <v>8</v>
      </c>
    </row>
    <row r="256" spans="1:3" x14ac:dyDescent="0.2">
      <c r="A256" t="s">
        <v>35</v>
      </c>
      <c r="B256">
        <v>600</v>
      </c>
      <c r="C256">
        <v>8</v>
      </c>
    </row>
    <row r="257" spans="1:3" x14ac:dyDescent="0.2">
      <c r="A257" t="s">
        <v>35</v>
      </c>
      <c r="B257">
        <v>600</v>
      </c>
      <c r="C257">
        <v>8</v>
      </c>
    </row>
    <row r="258" spans="1:3" x14ac:dyDescent="0.2">
      <c r="A258" t="s">
        <v>35</v>
      </c>
      <c r="B258">
        <v>600</v>
      </c>
      <c r="C258">
        <v>8</v>
      </c>
    </row>
    <row r="259" spans="1:3" x14ac:dyDescent="0.2">
      <c r="A259" t="s">
        <v>35</v>
      </c>
      <c r="B259">
        <v>600</v>
      </c>
      <c r="C259">
        <v>4</v>
      </c>
    </row>
    <row r="260" spans="1:3" x14ac:dyDescent="0.2">
      <c r="A260" t="s">
        <v>35</v>
      </c>
      <c r="B260">
        <v>600</v>
      </c>
      <c r="C260">
        <v>8</v>
      </c>
    </row>
    <row r="261" spans="1:3" x14ac:dyDescent="0.2">
      <c r="A261" t="s">
        <v>35</v>
      </c>
      <c r="B261">
        <v>600</v>
      </c>
      <c r="C261">
        <v>8</v>
      </c>
    </row>
    <row r="262" spans="1:3" x14ac:dyDescent="0.2">
      <c r="A262" t="s">
        <v>35</v>
      </c>
      <c r="B262">
        <v>600</v>
      </c>
      <c r="C262">
        <v>8</v>
      </c>
    </row>
    <row r="263" spans="1:3" x14ac:dyDescent="0.2">
      <c r="A263" t="s">
        <v>35</v>
      </c>
      <c r="B263">
        <v>600</v>
      </c>
      <c r="C263">
        <v>8</v>
      </c>
    </row>
    <row r="264" spans="1:3" x14ac:dyDescent="0.2">
      <c r="A264" t="s">
        <v>35</v>
      </c>
      <c r="B264">
        <v>600</v>
      </c>
      <c r="C264">
        <v>8</v>
      </c>
    </row>
    <row r="265" spans="1:3" x14ac:dyDescent="0.2">
      <c r="A265" t="s">
        <v>35</v>
      </c>
      <c r="B265">
        <v>600</v>
      </c>
      <c r="C265">
        <v>8</v>
      </c>
    </row>
    <row r="266" spans="1:3" x14ac:dyDescent="0.2">
      <c r="A266" t="s">
        <v>35</v>
      </c>
      <c r="B266">
        <v>600</v>
      </c>
      <c r="C266">
        <v>8</v>
      </c>
    </row>
    <row r="267" spans="1:3" x14ac:dyDescent="0.2">
      <c r="A267" t="s">
        <v>35</v>
      </c>
      <c r="B267">
        <v>600</v>
      </c>
      <c r="C267">
        <v>8</v>
      </c>
    </row>
    <row r="268" spans="1:3" x14ac:dyDescent="0.2">
      <c r="A268" t="s">
        <v>35</v>
      </c>
      <c r="B268">
        <v>600</v>
      </c>
      <c r="C268">
        <v>8</v>
      </c>
    </row>
    <row r="269" spans="1:3" x14ac:dyDescent="0.2">
      <c r="A269" t="s">
        <v>35</v>
      </c>
      <c r="B269">
        <v>600</v>
      </c>
      <c r="C269">
        <v>8</v>
      </c>
    </row>
    <row r="270" spans="1:3" x14ac:dyDescent="0.2">
      <c r="A270" t="s">
        <v>35</v>
      </c>
      <c r="B270">
        <v>600</v>
      </c>
      <c r="C270">
        <v>8</v>
      </c>
    </row>
    <row r="271" spans="1:3" x14ac:dyDescent="0.2">
      <c r="A271" t="s">
        <v>35</v>
      </c>
      <c r="B271">
        <v>600</v>
      </c>
      <c r="C271">
        <v>8</v>
      </c>
    </row>
    <row r="272" spans="1:3" x14ac:dyDescent="0.2">
      <c r="A272" t="s">
        <v>35</v>
      </c>
      <c r="B272">
        <v>600</v>
      </c>
      <c r="C272">
        <v>8</v>
      </c>
    </row>
    <row r="273" spans="1:3" x14ac:dyDescent="0.2">
      <c r="A273" t="s">
        <v>35</v>
      </c>
      <c r="B273">
        <v>600</v>
      </c>
      <c r="C273">
        <v>8</v>
      </c>
    </row>
    <row r="274" spans="1:3" x14ac:dyDescent="0.2">
      <c r="A274" t="s">
        <v>35</v>
      </c>
      <c r="B274">
        <v>600</v>
      </c>
      <c r="C274">
        <v>8</v>
      </c>
    </row>
    <row r="275" spans="1:3" x14ac:dyDescent="0.2">
      <c r="A275" t="s">
        <v>35</v>
      </c>
      <c r="B275">
        <v>600</v>
      </c>
      <c r="C275">
        <v>8</v>
      </c>
    </row>
    <row r="276" spans="1:3" x14ac:dyDescent="0.2">
      <c r="A276" t="s">
        <v>35</v>
      </c>
      <c r="B276">
        <v>600</v>
      </c>
      <c r="C276">
        <v>8</v>
      </c>
    </row>
    <row r="277" spans="1:3" x14ac:dyDescent="0.2">
      <c r="A277" t="s">
        <v>35</v>
      </c>
      <c r="B277">
        <v>600</v>
      </c>
      <c r="C277">
        <v>8</v>
      </c>
    </row>
    <row r="278" spans="1:3" x14ac:dyDescent="0.2">
      <c r="A278" t="s">
        <v>35</v>
      </c>
      <c r="B278">
        <v>600</v>
      </c>
      <c r="C278">
        <v>8</v>
      </c>
    </row>
    <row r="279" spans="1:3" x14ac:dyDescent="0.2">
      <c r="A279" t="s">
        <v>35</v>
      </c>
      <c r="B279">
        <v>600</v>
      </c>
      <c r="C279">
        <v>8</v>
      </c>
    </row>
    <row r="280" spans="1:3" x14ac:dyDescent="0.2">
      <c r="A280" t="s">
        <v>35</v>
      </c>
      <c r="B280">
        <v>600</v>
      </c>
      <c r="C280">
        <v>8</v>
      </c>
    </row>
    <row r="281" spans="1:3" x14ac:dyDescent="0.2">
      <c r="A281" t="s">
        <v>35</v>
      </c>
      <c r="B281">
        <v>600</v>
      </c>
      <c r="C281">
        <v>8</v>
      </c>
    </row>
    <row r="282" spans="1:3" x14ac:dyDescent="0.2">
      <c r="A282" t="s">
        <v>35</v>
      </c>
      <c r="B282">
        <v>600</v>
      </c>
      <c r="C282">
        <v>8</v>
      </c>
    </row>
    <row r="283" spans="1:3" x14ac:dyDescent="0.2">
      <c r="A283" t="s">
        <v>35</v>
      </c>
      <c r="B283">
        <v>600</v>
      </c>
      <c r="C283">
        <v>8</v>
      </c>
    </row>
    <row r="284" spans="1:3" x14ac:dyDescent="0.2">
      <c r="A284" t="s">
        <v>35</v>
      </c>
      <c r="B284">
        <v>600</v>
      </c>
      <c r="C284">
        <v>8</v>
      </c>
    </row>
    <row r="285" spans="1:3" x14ac:dyDescent="0.2">
      <c r="A285" t="s">
        <v>35</v>
      </c>
      <c r="B285">
        <v>600</v>
      </c>
      <c r="C285">
        <v>4</v>
      </c>
    </row>
    <row r="286" spans="1:3" x14ac:dyDescent="0.2">
      <c r="A286" t="s">
        <v>35</v>
      </c>
      <c r="B286">
        <v>600</v>
      </c>
      <c r="C286">
        <v>8</v>
      </c>
    </row>
    <row r="287" spans="1:3" x14ac:dyDescent="0.2">
      <c r="A287" t="s">
        <v>35</v>
      </c>
      <c r="B287">
        <v>600</v>
      </c>
      <c r="C287">
        <v>8</v>
      </c>
    </row>
    <row r="288" spans="1:3" x14ac:dyDescent="0.2">
      <c r="A288" t="s">
        <v>35</v>
      </c>
      <c r="B288">
        <v>600</v>
      </c>
      <c r="C288">
        <v>4</v>
      </c>
    </row>
    <row r="289" spans="1:3" x14ac:dyDescent="0.2">
      <c r="A289" t="s">
        <v>35</v>
      </c>
      <c r="B289">
        <v>600</v>
      </c>
      <c r="C289">
        <v>8</v>
      </c>
    </row>
    <row r="290" spans="1:3" x14ac:dyDescent="0.2">
      <c r="A290" t="s">
        <v>35</v>
      </c>
      <c r="B290">
        <v>600</v>
      </c>
      <c r="C290">
        <v>8</v>
      </c>
    </row>
    <row r="291" spans="1:3" x14ac:dyDescent="0.2">
      <c r="A291" t="s">
        <v>35</v>
      </c>
      <c r="B291">
        <v>600</v>
      </c>
      <c r="C291">
        <v>8</v>
      </c>
    </row>
    <row r="292" spans="1:3" x14ac:dyDescent="0.2">
      <c r="A292" t="s">
        <v>35</v>
      </c>
      <c r="B292">
        <v>600</v>
      </c>
      <c r="C292">
        <v>8</v>
      </c>
    </row>
    <row r="293" spans="1:3" x14ac:dyDescent="0.2">
      <c r="A293" t="s">
        <v>35</v>
      </c>
      <c r="B293">
        <v>600</v>
      </c>
      <c r="C293">
        <v>8</v>
      </c>
    </row>
    <row r="294" spans="1:3" x14ac:dyDescent="0.2">
      <c r="A294" t="s">
        <v>35</v>
      </c>
      <c r="B294">
        <v>600</v>
      </c>
      <c r="C294">
        <v>8</v>
      </c>
    </row>
    <row r="295" spans="1:3" x14ac:dyDescent="0.2">
      <c r="A295" t="s">
        <v>35</v>
      </c>
      <c r="B295">
        <v>600</v>
      </c>
      <c r="C295">
        <v>8</v>
      </c>
    </row>
    <row r="296" spans="1:3" x14ac:dyDescent="0.2">
      <c r="A296" t="s">
        <v>35</v>
      </c>
      <c r="B296">
        <v>600</v>
      </c>
      <c r="C296">
        <v>4</v>
      </c>
    </row>
    <row r="297" spans="1:3" x14ac:dyDescent="0.2">
      <c r="A297" t="s">
        <v>35</v>
      </c>
      <c r="B297">
        <v>600</v>
      </c>
      <c r="C297">
        <v>8</v>
      </c>
    </row>
    <row r="298" spans="1:3" x14ac:dyDescent="0.2">
      <c r="A298" t="s">
        <v>35</v>
      </c>
      <c r="B298">
        <v>600</v>
      </c>
      <c r="C298">
        <v>8</v>
      </c>
    </row>
    <row r="299" spans="1:3" x14ac:dyDescent="0.2">
      <c r="A299" t="s">
        <v>35</v>
      </c>
      <c r="B299">
        <v>600</v>
      </c>
      <c r="C299">
        <v>8</v>
      </c>
    </row>
    <row r="300" spans="1:3" x14ac:dyDescent="0.2">
      <c r="A300" t="s">
        <v>35</v>
      </c>
      <c r="B300">
        <v>600</v>
      </c>
      <c r="C300">
        <v>4</v>
      </c>
    </row>
    <row r="301" spans="1:3" x14ac:dyDescent="0.2">
      <c r="A301" t="s">
        <v>35</v>
      </c>
      <c r="B301">
        <v>600</v>
      </c>
      <c r="C301">
        <v>8</v>
      </c>
    </row>
    <row r="302" spans="1:3" x14ac:dyDescent="0.2">
      <c r="A302" t="s">
        <v>35</v>
      </c>
      <c r="B302">
        <v>600</v>
      </c>
      <c r="C302">
        <v>8</v>
      </c>
    </row>
    <row r="303" spans="1:3" x14ac:dyDescent="0.2">
      <c r="A303" t="s">
        <v>35</v>
      </c>
      <c r="B303">
        <v>600</v>
      </c>
      <c r="C303">
        <v>8</v>
      </c>
    </row>
    <row r="304" spans="1:3" x14ac:dyDescent="0.2">
      <c r="A304" t="s">
        <v>36</v>
      </c>
      <c r="B304">
        <v>600</v>
      </c>
      <c r="C304">
        <v>8</v>
      </c>
    </row>
    <row r="305" spans="1:3" x14ac:dyDescent="0.2">
      <c r="A305" t="s">
        <v>36</v>
      </c>
      <c r="B305">
        <v>594</v>
      </c>
      <c r="C305">
        <v>14</v>
      </c>
    </row>
    <row r="306" spans="1:3" x14ac:dyDescent="0.2">
      <c r="A306" t="s">
        <v>36</v>
      </c>
      <c r="B306">
        <v>600</v>
      </c>
      <c r="C306">
        <v>8</v>
      </c>
    </row>
    <row r="307" spans="1:3" x14ac:dyDescent="0.2">
      <c r="A307" t="s">
        <v>36</v>
      </c>
      <c r="B307">
        <v>600</v>
      </c>
      <c r="C307">
        <v>8</v>
      </c>
    </row>
    <row r="308" spans="1:3" x14ac:dyDescent="0.2">
      <c r="A308" t="s">
        <v>36</v>
      </c>
      <c r="B308">
        <v>600</v>
      </c>
      <c r="C308">
        <v>8</v>
      </c>
    </row>
    <row r="309" spans="1:3" x14ac:dyDescent="0.2">
      <c r="A309" t="s">
        <v>36</v>
      </c>
      <c r="B309">
        <v>594</v>
      </c>
      <c r="C309">
        <v>14</v>
      </c>
    </row>
    <row r="310" spans="1:3" x14ac:dyDescent="0.2">
      <c r="A310" t="s">
        <v>36</v>
      </c>
      <c r="B310">
        <v>600</v>
      </c>
      <c r="C310">
        <v>8</v>
      </c>
    </row>
    <row r="311" spans="1:3" x14ac:dyDescent="0.2">
      <c r="A311" t="s">
        <v>36</v>
      </c>
      <c r="B311">
        <v>600</v>
      </c>
      <c r="C311">
        <v>8</v>
      </c>
    </row>
    <row r="312" spans="1:3" x14ac:dyDescent="0.2">
      <c r="A312" t="s">
        <v>36</v>
      </c>
      <c r="B312">
        <v>600</v>
      </c>
      <c r="C312">
        <v>4</v>
      </c>
    </row>
    <row r="313" spans="1:3" x14ac:dyDescent="0.2">
      <c r="A313" t="s">
        <v>36</v>
      </c>
      <c r="B313">
        <v>600</v>
      </c>
      <c r="C313">
        <v>8</v>
      </c>
    </row>
    <row r="314" spans="1:3" x14ac:dyDescent="0.2">
      <c r="A314" t="s">
        <v>36</v>
      </c>
      <c r="B314">
        <v>600</v>
      </c>
      <c r="C314">
        <v>8</v>
      </c>
    </row>
    <row r="315" spans="1:3" x14ac:dyDescent="0.2">
      <c r="A315" t="s">
        <v>36</v>
      </c>
      <c r="B315">
        <v>598</v>
      </c>
      <c r="C315">
        <v>10</v>
      </c>
    </row>
    <row r="316" spans="1:3" x14ac:dyDescent="0.2">
      <c r="A316" t="s">
        <v>36</v>
      </c>
      <c r="B316">
        <v>600</v>
      </c>
      <c r="C316">
        <v>8</v>
      </c>
    </row>
    <row r="317" spans="1:3" x14ac:dyDescent="0.2">
      <c r="A317" t="s">
        <v>36</v>
      </c>
      <c r="B317">
        <v>600</v>
      </c>
      <c r="C317">
        <v>8</v>
      </c>
    </row>
    <row r="318" spans="1:3" x14ac:dyDescent="0.2">
      <c r="A318" t="s">
        <v>36</v>
      </c>
      <c r="B318">
        <v>600</v>
      </c>
      <c r="C318">
        <v>8</v>
      </c>
    </row>
    <row r="319" spans="1:3" x14ac:dyDescent="0.2">
      <c r="A319" t="s">
        <v>36</v>
      </c>
      <c r="B319">
        <v>594</v>
      </c>
      <c r="C319">
        <v>14</v>
      </c>
    </row>
    <row r="320" spans="1:3" x14ac:dyDescent="0.2">
      <c r="A320" t="s">
        <v>36</v>
      </c>
      <c r="B320">
        <v>600</v>
      </c>
      <c r="C320">
        <v>8</v>
      </c>
    </row>
    <row r="321" spans="1:3" x14ac:dyDescent="0.2">
      <c r="A321" t="s">
        <v>36</v>
      </c>
      <c r="B321">
        <v>590</v>
      </c>
      <c r="C321">
        <v>18</v>
      </c>
    </row>
    <row r="322" spans="1:3" x14ac:dyDescent="0.2">
      <c r="A322" t="s">
        <v>36</v>
      </c>
      <c r="B322">
        <v>600</v>
      </c>
      <c r="C322">
        <v>4</v>
      </c>
    </row>
    <row r="323" spans="1:3" x14ac:dyDescent="0.2">
      <c r="A323" t="s">
        <v>36</v>
      </c>
      <c r="B323">
        <v>600</v>
      </c>
      <c r="C323">
        <v>8</v>
      </c>
    </row>
    <row r="324" spans="1:3" x14ac:dyDescent="0.2">
      <c r="A324" t="s">
        <v>36</v>
      </c>
      <c r="B324">
        <v>598</v>
      </c>
      <c r="C324">
        <v>10</v>
      </c>
    </row>
    <row r="325" spans="1:3" x14ac:dyDescent="0.2">
      <c r="A325" t="s">
        <v>36</v>
      </c>
      <c r="B325">
        <v>594</v>
      </c>
      <c r="C325">
        <v>14</v>
      </c>
    </row>
    <row r="326" spans="1:3" x14ac:dyDescent="0.2">
      <c r="A326" t="s">
        <v>36</v>
      </c>
      <c r="B326">
        <v>600</v>
      </c>
      <c r="C326">
        <v>4</v>
      </c>
    </row>
    <row r="327" spans="1:3" x14ac:dyDescent="0.2">
      <c r="A327" t="s">
        <v>36</v>
      </c>
      <c r="B327">
        <v>594</v>
      </c>
      <c r="C327">
        <v>14</v>
      </c>
    </row>
    <row r="328" spans="1:3" x14ac:dyDescent="0.2">
      <c r="A328" t="s">
        <v>36</v>
      </c>
      <c r="B328">
        <v>600</v>
      </c>
      <c r="C328">
        <v>4</v>
      </c>
    </row>
    <row r="329" spans="1:3" x14ac:dyDescent="0.2">
      <c r="A329" t="s">
        <v>36</v>
      </c>
      <c r="B329">
        <v>600</v>
      </c>
      <c r="C329">
        <v>8</v>
      </c>
    </row>
    <row r="330" spans="1:3" x14ac:dyDescent="0.2">
      <c r="A330" t="s">
        <v>36</v>
      </c>
      <c r="B330">
        <v>600</v>
      </c>
      <c r="C330">
        <v>8</v>
      </c>
    </row>
    <row r="331" spans="1:3" x14ac:dyDescent="0.2">
      <c r="A331" t="s">
        <v>36</v>
      </c>
      <c r="B331">
        <v>600</v>
      </c>
      <c r="C331">
        <v>8</v>
      </c>
    </row>
    <row r="332" spans="1:3" x14ac:dyDescent="0.2">
      <c r="A332" t="s">
        <v>36</v>
      </c>
      <c r="B332">
        <v>594</v>
      </c>
      <c r="C332">
        <v>14</v>
      </c>
    </row>
    <row r="333" spans="1:3" x14ac:dyDescent="0.2">
      <c r="A333" t="s">
        <v>36</v>
      </c>
      <c r="B333">
        <v>600</v>
      </c>
      <c r="C333">
        <v>8</v>
      </c>
    </row>
    <row r="334" spans="1:3" x14ac:dyDescent="0.2">
      <c r="A334" t="s">
        <v>36</v>
      </c>
      <c r="B334">
        <v>594</v>
      </c>
      <c r="C334">
        <v>14</v>
      </c>
    </row>
    <row r="335" spans="1:3" x14ac:dyDescent="0.2">
      <c r="A335" t="s">
        <v>36</v>
      </c>
      <c r="B335">
        <v>600</v>
      </c>
      <c r="C335">
        <v>8</v>
      </c>
    </row>
    <row r="336" spans="1:3" x14ac:dyDescent="0.2">
      <c r="A336" t="s">
        <v>36</v>
      </c>
      <c r="B336">
        <v>600</v>
      </c>
      <c r="C336">
        <v>8</v>
      </c>
    </row>
    <row r="337" spans="1:3" x14ac:dyDescent="0.2">
      <c r="A337" t="s">
        <v>36</v>
      </c>
      <c r="B337">
        <v>594</v>
      </c>
      <c r="C337">
        <v>14</v>
      </c>
    </row>
    <row r="338" spans="1:3" x14ac:dyDescent="0.2">
      <c r="A338" t="s">
        <v>36</v>
      </c>
      <c r="B338">
        <v>600</v>
      </c>
      <c r="C338">
        <v>4</v>
      </c>
    </row>
    <row r="339" spans="1:3" x14ac:dyDescent="0.2">
      <c r="A339" t="s">
        <v>36</v>
      </c>
      <c r="B339">
        <v>600</v>
      </c>
      <c r="C339">
        <v>4</v>
      </c>
    </row>
    <row r="340" spans="1:3" x14ac:dyDescent="0.2">
      <c r="A340" t="s">
        <v>36</v>
      </c>
      <c r="B340">
        <v>600</v>
      </c>
      <c r="C340">
        <v>8</v>
      </c>
    </row>
    <row r="341" spans="1:3" x14ac:dyDescent="0.2">
      <c r="A341" t="s">
        <v>36</v>
      </c>
      <c r="B341">
        <v>600</v>
      </c>
      <c r="C341">
        <v>8</v>
      </c>
    </row>
    <row r="342" spans="1:3" x14ac:dyDescent="0.2">
      <c r="A342" t="s">
        <v>36</v>
      </c>
      <c r="B342">
        <v>600</v>
      </c>
      <c r="C342">
        <v>8</v>
      </c>
    </row>
    <row r="343" spans="1:3" x14ac:dyDescent="0.2">
      <c r="A343" t="s">
        <v>36</v>
      </c>
      <c r="B343">
        <v>600</v>
      </c>
      <c r="C343">
        <v>8</v>
      </c>
    </row>
    <row r="344" spans="1:3" x14ac:dyDescent="0.2">
      <c r="A344" t="s">
        <v>36</v>
      </c>
      <c r="B344">
        <v>600</v>
      </c>
      <c r="C344">
        <v>8</v>
      </c>
    </row>
    <row r="345" spans="1:3" x14ac:dyDescent="0.2">
      <c r="A345" t="s">
        <v>36</v>
      </c>
      <c r="B345">
        <v>600</v>
      </c>
      <c r="C345">
        <v>8</v>
      </c>
    </row>
    <row r="346" spans="1:3" x14ac:dyDescent="0.2">
      <c r="A346" t="s">
        <v>36</v>
      </c>
      <c r="B346">
        <v>598</v>
      </c>
      <c r="C346">
        <v>10</v>
      </c>
    </row>
    <row r="347" spans="1:3" x14ac:dyDescent="0.2">
      <c r="A347" t="s">
        <v>36</v>
      </c>
      <c r="B347">
        <v>600</v>
      </c>
      <c r="C347">
        <v>4</v>
      </c>
    </row>
    <row r="348" spans="1:3" x14ac:dyDescent="0.2">
      <c r="A348" t="s">
        <v>36</v>
      </c>
      <c r="B348">
        <v>600</v>
      </c>
      <c r="C348">
        <v>8</v>
      </c>
    </row>
    <row r="349" spans="1:3" x14ac:dyDescent="0.2">
      <c r="A349" t="s">
        <v>36</v>
      </c>
      <c r="B349">
        <v>600</v>
      </c>
      <c r="C349">
        <v>8</v>
      </c>
    </row>
    <row r="350" spans="1:3" x14ac:dyDescent="0.2">
      <c r="A350" t="s">
        <v>36</v>
      </c>
      <c r="B350">
        <v>600</v>
      </c>
      <c r="C350">
        <v>4</v>
      </c>
    </row>
    <row r="351" spans="1:3" x14ac:dyDescent="0.2">
      <c r="A351" t="s">
        <v>36</v>
      </c>
      <c r="B351">
        <v>600</v>
      </c>
      <c r="C351">
        <v>8</v>
      </c>
    </row>
    <row r="352" spans="1:3" x14ac:dyDescent="0.2">
      <c r="A352" t="s">
        <v>36</v>
      </c>
      <c r="B352">
        <v>600</v>
      </c>
      <c r="C352">
        <v>8</v>
      </c>
    </row>
    <row r="353" spans="1:3" x14ac:dyDescent="0.2">
      <c r="A353" t="s">
        <v>36</v>
      </c>
      <c r="B353">
        <v>600</v>
      </c>
      <c r="C353">
        <v>4</v>
      </c>
    </row>
    <row r="354" spans="1:3" x14ac:dyDescent="0.2">
      <c r="A354" t="s">
        <v>36</v>
      </c>
      <c r="B354">
        <v>600</v>
      </c>
      <c r="C354">
        <v>8</v>
      </c>
    </row>
    <row r="355" spans="1:3" x14ac:dyDescent="0.2">
      <c r="A355" t="s">
        <v>36</v>
      </c>
      <c r="B355">
        <v>600</v>
      </c>
      <c r="C355">
        <v>8</v>
      </c>
    </row>
    <row r="356" spans="1:3" x14ac:dyDescent="0.2">
      <c r="A356" t="s">
        <v>36</v>
      </c>
      <c r="B356">
        <v>600</v>
      </c>
      <c r="C356">
        <v>8</v>
      </c>
    </row>
    <row r="357" spans="1:3" x14ac:dyDescent="0.2">
      <c r="A357" t="s">
        <v>36</v>
      </c>
      <c r="B357">
        <v>600</v>
      </c>
      <c r="C357">
        <v>8</v>
      </c>
    </row>
    <row r="358" spans="1:3" x14ac:dyDescent="0.2">
      <c r="A358" t="s">
        <v>36</v>
      </c>
      <c r="B358">
        <v>600</v>
      </c>
      <c r="C358">
        <v>8</v>
      </c>
    </row>
    <row r="359" spans="1:3" x14ac:dyDescent="0.2">
      <c r="A359" t="s">
        <v>36</v>
      </c>
      <c r="B359">
        <v>600</v>
      </c>
      <c r="C359">
        <v>8</v>
      </c>
    </row>
    <row r="360" spans="1:3" x14ac:dyDescent="0.2">
      <c r="A360" t="s">
        <v>36</v>
      </c>
      <c r="B360">
        <v>600</v>
      </c>
      <c r="C360">
        <v>8</v>
      </c>
    </row>
    <row r="361" spans="1:3" x14ac:dyDescent="0.2">
      <c r="A361" t="s">
        <v>36</v>
      </c>
      <c r="B361">
        <v>600</v>
      </c>
      <c r="C361">
        <v>8</v>
      </c>
    </row>
    <row r="362" spans="1:3" x14ac:dyDescent="0.2">
      <c r="A362" t="s">
        <v>36</v>
      </c>
      <c r="B362">
        <v>600</v>
      </c>
      <c r="C362">
        <v>8</v>
      </c>
    </row>
    <row r="363" spans="1:3" x14ac:dyDescent="0.2">
      <c r="A363" t="s">
        <v>36</v>
      </c>
      <c r="B363">
        <v>600</v>
      </c>
      <c r="C363">
        <v>8</v>
      </c>
    </row>
    <row r="364" spans="1:3" x14ac:dyDescent="0.2">
      <c r="A364" t="s">
        <v>36</v>
      </c>
      <c r="B364">
        <v>600</v>
      </c>
      <c r="C364">
        <v>8</v>
      </c>
    </row>
    <row r="365" spans="1:3" x14ac:dyDescent="0.2">
      <c r="A365" t="s">
        <v>36</v>
      </c>
      <c r="B365">
        <v>600</v>
      </c>
      <c r="C365">
        <v>8</v>
      </c>
    </row>
    <row r="366" spans="1:3" x14ac:dyDescent="0.2">
      <c r="A366" t="s">
        <v>36</v>
      </c>
      <c r="B366">
        <v>600</v>
      </c>
      <c r="C366">
        <v>8</v>
      </c>
    </row>
    <row r="367" spans="1:3" x14ac:dyDescent="0.2">
      <c r="A367" t="s">
        <v>36</v>
      </c>
      <c r="B367">
        <v>598</v>
      </c>
      <c r="C367">
        <v>10</v>
      </c>
    </row>
    <row r="368" spans="1:3" x14ac:dyDescent="0.2">
      <c r="A368" t="s">
        <v>36</v>
      </c>
      <c r="B368">
        <v>600</v>
      </c>
      <c r="C368">
        <v>8</v>
      </c>
    </row>
    <row r="369" spans="1:3" x14ac:dyDescent="0.2">
      <c r="A369" t="s">
        <v>36</v>
      </c>
      <c r="B369">
        <v>600</v>
      </c>
      <c r="C369">
        <v>4</v>
      </c>
    </row>
    <row r="370" spans="1:3" x14ac:dyDescent="0.2">
      <c r="A370" t="s">
        <v>36</v>
      </c>
      <c r="B370">
        <v>600</v>
      </c>
      <c r="C370">
        <v>8</v>
      </c>
    </row>
    <row r="371" spans="1:3" x14ac:dyDescent="0.2">
      <c r="A371" t="s">
        <v>36</v>
      </c>
      <c r="B371">
        <v>600</v>
      </c>
      <c r="C371">
        <v>8</v>
      </c>
    </row>
    <row r="372" spans="1:3" x14ac:dyDescent="0.2">
      <c r="A372" t="s">
        <v>36</v>
      </c>
      <c r="B372">
        <v>600</v>
      </c>
      <c r="C372">
        <v>8</v>
      </c>
    </row>
    <row r="373" spans="1:3" x14ac:dyDescent="0.2">
      <c r="A373" t="s">
        <v>36</v>
      </c>
      <c r="B373">
        <v>600</v>
      </c>
      <c r="C373">
        <v>8</v>
      </c>
    </row>
    <row r="374" spans="1:3" x14ac:dyDescent="0.2">
      <c r="A374" t="s">
        <v>36</v>
      </c>
      <c r="B374">
        <v>600</v>
      </c>
      <c r="C374">
        <v>4</v>
      </c>
    </row>
    <row r="375" spans="1:3" x14ac:dyDescent="0.2">
      <c r="A375" t="s">
        <v>36</v>
      </c>
      <c r="B375">
        <v>600</v>
      </c>
      <c r="C375">
        <v>8</v>
      </c>
    </row>
    <row r="376" spans="1:3" x14ac:dyDescent="0.2">
      <c r="A376" t="s">
        <v>36</v>
      </c>
      <c r="B376">
        <v>600</v>
      </c>
      <c r="C376">
        <v>4</v>
      </c>
    </row>
    <row r="377" spans="1:3" x14ac:dyDescent="0.2">
      <c r="A377" t="s">
        <v>36</v>
      </c>
      <c r="B377">
        <v>600</v>
      </c>
      <c r="C377">
        <v>8</v>
      </c>
    </row>
    <row r="378" spans="1:3" x14ac:dyDescent="0.2">
      <c r="A378" t="s">
        <v>36</v>
      </c>
      <c r="B378">
        <v>594</v>
      </c>
      <c r="C378">
        <v>14</v>
      </c>
    </row>
    <row r="379" spans="1:3" x14ac:dyDescent="0.2">
      <c r="A379" t="s">
        <v>36</v>
      </c>
      <c r="B379">
        <v>600</v>
      </c>
      <c r="C379">
        <v>8</v>
      </c>
    </row>
    <row r="380" spans="1:3" x14ac:dyDescent="0.2">
      <c r="A380" t="s">
        <v>36</v>
      </c>
      <c r="B380">
        <v>600</v>
      </c>
      <c r="C380">
        <v>4</v>
      </c>
    </row>
    <row r="381" spans="1:3" x14ac:dyDescent="0.2">
      <c r="A381" t="s">
        <v>36</v>
      </c>
      <c r="B381">
        <v>600</v>
      </c>
      <c r="C381">
        <v>8</v>
      </c>
    </row>
    <row r="382" spans="1:3" x14ac:dyDescent="0.2">
      <c r="A382" t="s">
        <v>36</v>
      </c>
      <c r="B382">
        <v>594</v>
      </c>
      <c r="C382">
        <v>14</v>
      </c>
    </row>
    <row r="383" spans="1:3" x14ac:dyDescent="0.2">
      <c r="A383" t="s">
        <v>36</v>
      </c>
      <c r="B383">
        <v>600</v>
      </c>
      <c r="C383">
        <v>4</v>
      </c>
    </row>
    <row r="384" spans="1:3" x14ac:dyDescent="0.2">
      <c r="A384" t="s">
        <v>36</v>
      </c>
      <c r="B384">
        <v>600</v>
      </c>
      <c r="C384">
        <v>8</v>
      </c>
    </row>
    <row r="385" spans="1:3" x14ac:dyDescent="0.2">
      <c r="A385" t="s">
        <v>36</v>
      </c>
      <c r="B385">
        <v>600</v>
      </c>
      <c r="C385">
        <v>8</v>
      </c>
    </row>
    <row r="386" spans="1:3" x14ac:dyDescent="0.2">
      <c r="A386" t="s">
        <v>36</v>
      </c>
      <c r="B386">
        <v>600</v>
      </c>
      <c r="C386">
        <v>8</v>
      </c>
    </row>
    <row r="387" spans="1:3" x14ac:dyDescent="0.2">
      <c r="A387" t="s">
        <v>36</v>
      </c>
      <c r="B387">
        <v>600</v>
      </c>
      <c r="C387">
        <v>8</v>
      </c>
    </row>
    <row r="388" spans="1:3" x14ac:dyDescent="0.2">
      <c r="A388" t="s">
        <v>36</v>
      </c>
      <c r="B388">
        <v>600</v>
      </c>
      <c r="C388">
        <v>8</v>
      </c>
    </row>
    <row r="389" spans="1:3" x14ac:dyDescent="0.2">
      <c r="A389" t="s">
        <v>36</v>
      </c>
      <c r="B389">
        <v>590</v>
      </c>
      <c r="C389">
        <v>18</v>
      </c>
    </row>
    <row r="390" spans="1:3" x14ac:dyDescent="0.2">
      <c r="A390" t="s">
        <v>36</v>
      </c>
      <c r="B390">
        <v>600</v>
      </c>
      <c r="C390">
        <v>8</v>
      </c>
    </row>
    <row r="391" spans="1:3" x14ac:dyDescent="0.2">
      <c r="A391" t="s">
        <v>36</v>
      </c>
      <c r="B391">
        <v>600</v>
      </c>
      <c r="C391">
        <v>8</v>
      </c>
    </row>
    <row r="392" spans="1:3" x14ac:dyDescent="0.2">
      <c r="A392" t="s">
        <v>36</v>
      </c>
      <c r="B392">
        <v>600</v>
      </c>
      <c r="C392">
        <v>8</v>
      </c>
    </row>
    <row r="393" spans="1:3" x14ac:dyDescent="0.2">
      <c r="A393" t="s">
        <v>36</v>
      </c>
      <c r="B393">
        <v>600</v>
      </c>
      <c r="C393">
        <v>8</v>
      </c>
    </row>
    <row r="394" spans="1:3" x14ac:dyDescent="0.2">
      <c r="A394" t="s">
        <v>36</v>
      </c>
      <c r="B394">
        <v>590</v>
      </c>
      <c r="C394">
        <v>18</v>
      </c>
    </row>
    <row r="395" spans="1:3" x14ac:dyDescent="0.2">
      <c r="A395" t="s">
        <v>36</v>
      </c>
      <c r="B395">
        <v>600</v>
      </c>
      <c r="C395">
        <v>8</v>
      </c>
    </row>
    <row r="396" spans="1:3" x14ac:dyDescent="0.2">
      <c r="A396" t="s">
        <v>36</v>
      </c>
      <c r="B396">
        <v>600</v>
      </c>
      <c r="C396">
        <v>8</v>
      </c>
    </row>
    <row r="397" spans="1:3" x14ac:dyDescent="0.2">
      <c r="A397" t="s">
        <v>36</v>
      </c>
      <c r="B397">
        <v>600</v>
      </c>
      <c r="C397">
        <v>8</v>
      </c>
    </row>
    <row r="398" spans="1:3" x14ac:dyDescent="0.2">
      <c r="A398" t="s">
        <v>36</v>
      </c>
      <c r="B398">
        <v>600</v>
      </c>
      <c r="C398">
        <v>8</v>
      </c>
    </row>
    <row r="399" spans="1:3" x14ac:dyDescent="0.2">
      <c r="A399" t="s">
        <v>36</v>
      </c>
      <c r="B399">
        <v>600</v>
      </c>
      <c r="C399">
        <v>8</v>
      </c>
    </row>
    <row r="400" spans="1:3" x14ac:dyDescent="0.2">
      <c r="A400" t="s">
        <v>36</v>
      </c>
      <c r="B400">
        <v>600</v>
      </c>
      <c r="C400">
        <v>8</v>
      </c>
    </row>
    <row r="401" spans="1:3" x14ac:dyDescent="0.2">
      <c r="A401" t="s">
        <v>36</v>
      </c>
      <c r="B401">
        <v>600</v>
      </c>
      <c r="C401">
        <v>8</v>
      </c>
    </row>
    <row r="402" spans="1:3" x14ac:dyDescent="0.2">
      <c r="A402" t="s">
        <v>36</v>
      </c>
      <c r="B402">
        <v>600</v>
      </c>
      <c r="C402">
        <v>4</v>
      </c>
    </row>
    <row r="403" spans="1:3" x14ac:dyDescent="0.2">
      <c r="A403" t="s">
        <v>36</v>
      </c>
      <c r="B403">
        <v>600</v>
      </c>
      <c r="C403">
        <v>8</v>
      </c>
    </row>
    <row r="404" spans="1:3" x14ac:dyDescent="0.2">
      <c r="A404" t="s">
        <v>37</v>
      </c>
      <c r="B404">
        <v>600</v>
      </c>
      <c r="C404">
        <v>8</v>
      </c>
    </row>
    <row r="405" spans="1:3" x14ac:dyDescent="0.2">
      <c r="A405" t="s">
        <v>37</v>
      </c>
      <c r="B405">
        <v>600</v>
      </c>
      <c r="C405">
        <v>8</v>
      </c>
    </row>
    <row r="406" spans="1:3" x14ac:dyDescent="0.2">
      <c r="A406" t="s">
        <v>37</v>
      </c>
      <c r="B406">
        <v>600</v>
      </c>
      <c r="C406">
        <v>4</v>
      </c>
    </row>
    <row r="407" spans="1:3" x14ac:dyDescent="0.2">
      <c r="A407" t="s">
        <v>37</v>
      </c>
      <c r="B407">
        <v>600</v>
      </c>
      <c r="C407">
        <v>8</v>
      </c>
    </row>
    <row r="408" spans="1:3" x14ac:dyDescent="0.2">
      <c r="A408" t="s">
        <v>37</v>
      </c>
      <c r="B408">
        <v>600</v>
      </c>
      <c r="C408">
        <v>8</v>
      </c>
    </row>
    <row r="409" spans="1:3" x14ac:dyDescent="0.2">
      <c r="A409" t="s">
        <v>37</v>
      </c>
      <c r="B409">
        <v>600</v>
      </c>
      <c r="C409">
        <v>8</v>
      </c>
    </row>
    <row r="410" spans="1:3" x14ac:dyDescent="0.2">
      <c r="A410" t="s">
        <v>37</v>
      </c>
      <c r="B410">
        <v>600</v>
      </c>
      <c r="C410">
        <v>8</v>
      </c>
    </row>
    <row r="411" spans="1:3" x14ac:dyDescent="0.2">
      <c r="A411" t="s">
        <v>37</v>
      </c>
      <c r="B411">
        <v>600</v>
      </c>
      <c r="C411">
        <v>8</v>
      </c>
    </row>
    <row r="412" spans="1:3" x14ac:dyDescent="0.2">
      <c r="A412" t="s">
        <v>37</v>
      </c>
      <c r="B412">
        <v>600</v>
      </c>
      <c r="C412">
        <v>8</v>
      </c>
    </row>
    <row r="413" spans="1:3" x14ac:dyDescent="0.2">
      <c r="A413" t="s">
        <v>37</v>
      </c>
      <c r="B413">
        <v>600</v>
      </c>
      <c r="C413">
        <v>8</v>
      </c>
    </row>
    <row r="414" spans="1:3" x14ac:dyDescent="0.2">
      <c r="A414" t="s">
        <v>37</v>
      </c>
      <c r="B414">
        <v>600</v>
      </c>
      <c r="C414">
        <v>8</v>
      </c>
    </row>
    <row r="415" spans="1:3" x14ac:dyDescent="0.2">
      <c r="A415" t="s">
        <v>37</v>
      </c>
      <c r="B415">
        <v>600</v>
      </c>
      <c r="C415">
        <v>8</v>
      </c>
    </row>
    <row r="416" spans="1:3" x14ac:dyDescent="0.2">
      <c r="A416" t="s">
        <v>37</v>
      </c>
      <c r="B416">
        <v>600</v>
      </c>
      <c r="C416">
        <v>8</v>
      </c>
    </row>
    <row r="417" spans="1:3" x14ac:dyDescent="0.2">
      <c r="A417" t="s">
        <v>37</v>
      </c>
      <c r="B417">
        <v>600</v>
      </c>
      <c r="C417">
        <v>8</v>
      </c>
    </row>
    <row r="418" spans="1:3" x14ac:dyDescent="0.2">
      <c r="A418" t="s">
        <v>37</v>
      </c>
      <c r="B418">
        <v>600</v>
      </c>
      <c r="C418">
        <v>8</v>
      </c>
    </row>
    <row r="419" spans="1:3" x14ac:dyDescent="0.2">
      <c r="A419" t="s">
        <v>37</v>
      </c>
      <c r="B419">
        <v>600</v>
      </c>
      <c r="C419">
        <v>8</v>
      </c>
    </row>
    <row r="420" spans="1:3" x14ac:dyDescent="0.2">
      <c r="A420" t="s">
        <v>37</v>
      </c>
      <c r="B420">
        <v>600</v>
      </c>
      <c r="C420">
        <v>8</v>
      </c>
    </row>
    <row r="421" spans="1:3" x14ac:dyDescent="0.2">
      <c r="A421" t="s">
        <v>37</v>
      </c>
      <c r="B421">
        <v>600</v>
      </c>
      <c r="C421">
        <v>8</v>
      </c>
    </row>
    <row r="422" spans="1:3" x14ac:dyDescent="0.2">
      <c r="A422" t="s">
        <v>37</v>
      </c>
      <c r="B422">
        <v>600</v>
      </c>
      <c r="C422">
        <v>8</v>
      </c>
    </row>
    <row r="423" spans="1:3" x14ac:dyDescent="0.2">
      <c r="A423" t="s">
        <v>37</v>
      </c>
      <c r="B423">
        <v>600</v>
      </c>
      <c r="C423">
        <v>8</v>
      </c>
    </row>
    <row r="424" spans="1:3" x14ac:dyDescent="0.2">
      <c r="A424" t="s">
        <v>37</v>
      </c>
      <c r="B424">
        <v>600</v>
      </c>
      <c r="C424">
        <v>4</v>
      </c>
    </row>
    <row r="425" spans="1:3" x14ac:dyDescent="0.2">
      <c r="A425" t="s">
        <v>37</v>
      </c>
      <c r="B425">
        <v>600</v>
      </c>
      <c r="C425">
        <v>8</v>
      </c>
    </row>
    <row r="426" spans="1:3" x14ac:dyDescent="0.2">
      <c r="A426" t="s">
        <v>37</v>
      </c>
      <c r="B426">
        <v>600</v>
      </c>
      <c r="C426">
        <v>8</v>
      </c>
    </row>
    <row r="427" spans="1:3" x14ac:dyDescent="0.2">
      <c r="A427" t="s">
        <v>37</v>
      </c>
      <c r="B427">
        <v>600</v>
      </c>
      <c r="C427">
        <v>8</v>
      </c>
    </row>
    <row r="428" spans="1:3" x14ac:dyDescent="0.2">
      <c r="A428" t="s">
        <v>37</v>
      </c>
      <c r="B428">
        <v>600</v>
      </c>
      <c r="C428">
        <v>8</v>
      </c>
    </row>
    <row r="429" spans="1:3" x14ac:dyDescent="0.2">
      <c r="A429" t="s">
        <v>37</v>
      </c>
      <c r="B429">
        <v>600</v>
      </c>
      <c r="C429">
        <v>8</v>
      </c>
    </row>
    <row r="430" spans="1:3" x14ac:dyDescent="0.2">
      <c r="A430" t="s">
        <v>37</v>
      </c>
      <c r="B430">
        <v>600</v>
      </c>
      <c r="C430">
        <v>8</v>
      </c>
    </row>
    <row r="431" spans="1:3" x14ac:dyDescent="0.2">
      <c r="A431" t="s">
        <v>37</v>
      </c>
      <c r="B431">
        <v>600</v>
      </c>
      <c r="C431">
        <v>8</v>
      </c>
    </row>
    <row r="432" spans="1:3" x14ac:dyDescent="0.2">
      <c r="A432" t="s">
        <v>37</v>
      </c>
      <c r="B432">
        <v>600</v>
      </c>
      <c r="C432">
        <v>8</v>
      </c>
    </row>
    <row r="433" spans="1:3" x14ac:dyDescent="0.2">
      <c r="A433" t="s">
        <v>37</v>
      </c>
      <c r="B433">
        <v>600</v>
      </c>
      <c r="C433">
        <v>8</v>
      </c>
    </row>
    <row r="434" spans="1:3" x14ac:dyDescent="0.2">
      <c r="A434" t="s">
        <v>37</v>
      </c>
      <c r="B434">
        <v>600</v>
      </c>
      <c r="C434">
        <v>8</v>
      </c>
    </row>
    <row r="435" spans="1:3" x14ac:dyDescent="0.2">
      <c r="A435" t="s">
        <v>37</v>
      </c>
      <c r="B435">
        <v>600</v>
      </c>
      <c r="C435">
        <v>4</v>
      </c>
    </row>
    <row r="436" spans="1:3" x14ac:dyDescent="0.2">
      <c r="A436" t="s">
        <v>37</v>
      </c>
      <c r="B436">
        <v>600</v>
      </c>
      <c r="C436">
        <v>8</v>
      </c>
    </row>
    <row r="437" spans="1:3" x14ac:dyDescent="0.2">
      <c r="A437" t="s">
        <v>37</v>
      </c>
      <c r="B437">
        <v>600</v>
      </c>
      <c r="C437">
        <v>4</v>
      </c>
    </row>
    <row r="438" spans="1:3" x14ac:dyDescent="0.2">
      <c r="A438" t="s">
        <v>37</v>
      </c>
      <c r="B438">
        <v>600</v>
      </c>
      <c r="C438">
        <v>8</v>
      </c>
    </row>
    <row r="439" spans="1:3" x14ac:dyDescent="0.2">
      <c r="A439" t="s">
        <v>37</v>
      </c>
      <c r="B439">
        <v>600</v>
      </c>
      <c r="C439">
        <v>8</v>
      </c>
    </row>
    <row r="440" spans="1:3" x14ac:dyDescent="0.2">
      <c r="A440" t="s">
        <v>37</v>
      </c>
      <c r="B440">
        <v>600</v>
      </c>
      <c r="C440">
        <v>8</v>
      </c>
    </row>
    <row r="441" spans="1:3" x14ac:dyDescent="0.2">
      <c r="A441" t="s">
        <v>37</v>
      </c>
      <c r="B441">
        <v>600</v>
      </c>
      <c r="C441">
        <v>8</v>
      </c>
    </row>
    <row r="442" spans="1:3" x14ac:dyDescent="0.2">
      <c r="A442" t="s">
        <v>37</v>
      </c>
      <c r="B442">
        <v>600</v>
      </c>
      <c r="C442">
        <v>8</v>
      </c>
    </row>
    <row r="443" spans="1:3" x14ac:dyDescent="0.2">
      <c r="A443" t="s">
        <v>37</v>
      </c>
      <c r="B443">
        <v>600</v>
      </c>
      <c r="C443">
        <v>8</v>
      </c>
    </row>
    <row r="444" spans="1:3" x14ac:dyDescent="0.2">
      <c r="A444" t="s">
        <v>37</v>
      </c>
      <c r="B444">
        <v>600</v>
      </c>
      <c r="C444">
        <v>8</v>
      </c>
    </row>
    <row r="445" spans="1:3" x14ac:dyDescent="0.2">
      <c r="A445" t="s">
        <v>37</v>
      </c>
      <c r="B445">
        <v>600</v>
      </c>
      <c r="C445">
        <v>8</v>
      </c>
    </row>
    <row r="446" spans="1:3" x14ac:dyDescent="0.2">
      <c r="A446" t="s">
        <v>37</v>
      </c>
      <c r="B446">
        <v>600</v>
      </c>
      <c r="C446">
        <v>8</v>
      </c>
    </row>
    <row r="447" spans="1:3" x14ac:dyDescent="0.2">
      <c r="A447" t="s">
        <v>37</v>
      </c>
      <c r="B447">
        <v>600</v>
      </c>
      <c r="C447">
        <v>8</v>
      </c>
    </row>
    <row r="448" spans="1:3" x14ac:dyDescent="0.2">
      <c r="A448" t="s">
        <v>37</v>
      </c>
      <c r="B448">
        <v>600</v>
      </c>
      <c r="C448">
        <v>8</v>
      </c>
    </row>
    <row r="449" spans="1:3" x14ac:dyDescent="0.2">
      <c r="A449" t="s">
        <v>37</v>
      </c>
      <c r="B449">
        <v>600</v>
      </c>
      <c r="C449">
        <v>4</v>
      </c>
    </row>
    <row r="450" spans="1:3" x14ac:dyDescent="0.2">
      <c r="A450" t="s">
        <v>37</v>
      </c>
      <c r="B450">
        <v>600</v>
      </c>
      <c r="C450">
        <v>8</v>
      </c>
    </row>
    <row r="451" spans="1:3" x14ac:dyDescent="0.2">
      <c r="A451" t="s">
        <v>37</v>
      </c>
      <c r="B451">
        <v>600</v>
      </c>
      <c r="C451">
        <v>8</v>
      </c>
    </row>
    <row r="452" spans="1:3" x14ac:dyDescent="0.2">
      <c r="A452" t="s">
        <v>37</v>
      </c>
      <c r="B452">
        <v>600</v>
      </c>
      <c r="C452">
        <v>8</v>
      </c>
    </row>
    <row r="453" spans="1:3" x14ac:dyDescent="0.2">
      <c r="A453" t="s">
        <v>37</v>
      </c>
      <c r="B453">
        <v>600</v>
      </c>
      <c r="C453">
        <v>8</v>
      </c>
    </row>
    <row r="454" spans="1:3" x14ac:dyDescent="0.2">
      <c r="A454" t="s">
        <v>37</v>
      </c>
      <c r="B454">
        <v>600</v>
      </c>
      <c r="C454">
        <v>8</v>
      </c>
    </row>
    <row r="455" spans="1:3" x14ac:dyDescent="0.2">
      <c r="A455" t="s">
        <v>37</v>
      </c>
      <c r="B455">
        <v>600</v>
      </c>
      <c r="C455">
        <v>4</v>
      </c>
    </row>
    <row r="456" spans="1:3" x14ac:dyDescent="0.2">
      <c r="A456" t="s">
        <v>37</v>
      </c>
      <c r="B456">
        <v>600</v>
      </c>
      <c r="C456">
        <v>8</v>
      </c>
    </row>
    <row r="457" spans="1:3" x14ac:dyDescent="0.2">
      <c r="A457" t="s">
        <v>37</v>
      </c>
      <c r="B457">
        <v>600</v>
      </c>
      <c r="C457">
        <v>8</v>
      </c>
    </row>
    <row r="458" spans="1:3" x14ac:dyDescent="0.2">
      <c r="A458" t="s">
        <v>37</v>
      </c>
      <c r="B458">
        <v>600</v>
      </c>
      <c r="C458">
        <v>4</v>
      </c>
    </row>
    <row r="459" spans="1:3" x14ac:dyDescent="0.2">
      <c r="A459" t="s">
        <v>37</v>
      </c>
      <c r="B459">
        <v>600</v>
      </c>
      <c r="C459">
        <v>8</v>
      </c>
    </row>
    <row r="460" spans="1:3" x14ac:dyDescent="0.2">
      <c r="A460" t="s">
        <v>37</v>
      </c>
      <c r="B460">
        <v>600</v>
      </c>
      <c r="C460">
        <v>4</v>
      </c>
    </row>
    <row r="461" spans="1:3" x14ac:dyDescent="0.2">
      <c r="A461" t="s">
        <v>37</v>
      </c>
      <c r="B461">
        <v>600</v>
      </c>
      <c r="C461">
        <v>8</v>
      </c>
    </row>
    <row r="462" spans="1:3" x14ac:dyDescent="0.2">
      <c r="A462" t="s">
        <v>37</v>
      </c>
      <c r="B462">
        <v>600</v>
      </c>
      <c r="C462">
        <v>8</v>
      </c>
    </row>
    <row r="463" spans="1:3" x14ac:dyDescent="0.2">
      <c r="A463" t="s">
        <v>37</v>
      </c>
      <c r="B463">
        <v>600</v>
      </c>
      <c r="C463">
        <v>4</v>
      </c>
    </row>
    <row r="464" spans="1:3" x14ac:dyDescent="0.2">
      <c r="A464" t="s">
        <v>37</v>
      </c>
      <c r="B464">
        <v>600</v>
      </c>
      <c r="C464">
        <v>8</v>
      </c>
    </row>
    <row r="465" spans="1:3" x14ac:dyDescent="0.2">
      <c r="A465" t="s">
        <v>37</v>
      </c>
      <c r="B465">
        <v>600</v>
      </c>
      <c r="C465">
        <v>8</v>
      </c>
    </row>
    <row r="466" spans="1:3" x14ac:dyDescent="0.2">
      <c r="A466" t="s">
        <v>37</v>
      </c>
      <c r="B466">
        <v>600</v>
      </c>
      <c r="C466">
        <v>4</v>
      </c>
    </row>
    <row r="467" spans="1:3" x14ac:dyDescent="0.2">
      <c r="A467" t="s">
        <v>37</v>
      </c>
      <c r="B467">
        <v>600</v>
      </c>
      <c r="C467">
        <v>8</v>
      </c>
    </row>
    <row r="468" spans="1:3" x14ac:dyDescent="0.2">
      <c r="A468" t="s">
        <v>37</v>
      </c>
      <c r="B468">
        <v>600</v>
      </c>
      <c r="C468">
        <v>8</v>
      </c>
    </row>
    <row r="469" spans="1:3" x14ac:dyDescent="0.2">
      <c r="A469" t="s">
        <v>37</v>
      </c>
      <c r="B469">
        <v>600</v>
      </c>
      <c r="C469">
        <v>8</v>
      </c>
    </row>
    <row r="470" spans="1:3" x14ac:dyDescent="0.2">
      <c r="A470" t="s">
        <v>37</v>
      </c>
      <c r="B470">
        <v>600</v>
      </c>
      <c r="C470">
        <v>8</v>
      </c>
    </row>
    <row r="471" spans="1:3" x14ac:dyDescent="0.2">
      <c r="A471" t="s">
        <v>37</v>
      </c>
      <c r="B471">
        <v>600</v>
      </c>
      <c r="C471">
        <v>8</v>
      </c>
    </row>
    <row r="472" spans="1:3" x14ac:dyDescent="0.2">
      <c r="A472" t="s">
        <v>37</v>
      </c>
      <c r="B472">
        <v>600</v>
      </c>
      <c r="C472">
        <v>4</v>
      </c>
    </row>
    <row r="473" spans="1:3" x14ac:dyDescent="0.2">
      <c r="A473" t="s">
        <v>37</v>
      </c>
      <c r="B473">
        <v>600</v>
      </c>
      <c r="C473">
        <v>8</v>
      </c>
    </row>
    <row r="474" spans="1:3" x14ac:dyDescent="0.2">
      <c r="A474" t="s">
        <v>37</v>
      </c>
      <c r="B474">
        <v>600</v>
      </c>
      <c r="C474">
        <v>8</v>
      </c>
    </row>
    <row r="475" spans="1:3" x14ac:dyDescent="0.2">
      <c r="A475" t="s">
        <v>37</v>
      </c>
      <c r="B475">
        <v>600</v>
      </c>
      <c r="C475">
        <v>8</v>
      </c>
    </row>
    <row r="476" spans="1:3" x14ac:dyDescent="0.2">
      <c r="A476" t="s">
        <v>37</v>
      </c>
      <c r="B476">
        <v>600</v>
      </c>
      <c r="C476">
        <v>8</v>
      </c>
    </row>
    <row r="477" spans="1:3" x14ac:dyDescent="0.2">
      <c r="A477" t="s">
        <v>37</v>
      </c>
      <c r="B477">
        <v>600</v>
      </c>
      <c r="C477">
        <v>8</v>
      </c>
    </row>
    <row r="478" spans="1:3" x14ac:dyDescent="0.2">
      <c r="A478" t="s">
        <v>37</v>
      </c>
      <c r="B478">
        <v>600</v>
      </c>
      <c r="C478">
        <v>8</v>
      </c>
    </row>
    <row r="479" spans="1:3" x14ac:dyDescent="0.2">
      <c r="A479" t="s">
        <v>37</v>
      </c>
      <c r="B479">
        <v>600</v>
      </c>
      <c r="C479">
        <v>8</v>
      </c>
    </row>
    <row r="480" spans="1:3" x14ac:dyDescent="0.2">
      <c r="A480" t="s">
        <v>37</v>
      </c>
      <c r="B480">
        <v>600</v>
      </c>
      <c r="C480">
        <v>8</v>
      </c>
    </row>
    <row r="481" spans="1:3" x14ac:dyDescent="0.2">
      <c r="A481" t="s">
        <v>37</v>
      </c>
      <c r="B481">
        <v>600</v>
      </c>
      <c r="C481">
        <v>8</v>
      </c>
    </row>
    <row r="482" spans="1:3" x14ac:dyDescent="0.2">
      <c r="A482" t="s">
        <v>37</v>
      </c>
      <c r="B482">
        <v>600</v>
      </c>
      <c r="C482">
        <v>8</v>
      </c>
    </row>
    <row r="483" spans="1:3" x14ac:dyDescent="0.2">
      <c r="A483" t="s">
        <v>37</v>
      </c>
      <c r="B483">
        <v>600</v>
      </c>
      <c r="C483">
        <v>8</v>
      </c>
    </row>
    <row r="484" spans="1:3" x14ac:dyDescent="0.2">
      <c r="A484" t="s">
        <v>37</v>
      </c>
      <c r="B484">
        <v>600</v>
      </c>
      <c r="C484">
        <v>8</v>
      </c>
    </row>
    <row r="485" spans="1:3" x14ac:dyDescent="0.2">
      <c r="A485" t="s">
        <v>37</v>
      </c>
      <c r="B485">
        <v>600</v>
      </c>
      <c r="C485">
        <v>8</v>
      </c>
    </row>
    <row r="486" spans="1:3" x14ac:dyDescent="0.2">
      <c r="A486" t="s">
        <v>37</v>
      </c>
      <c r="B486">
        <v>600</v>
      </c>
      <c r="C486">
        <v>4</v>
      </c>
    </row>
    <row r="487" spans="1:3" x14ac:dyDescent="0.2">
      <c r="A487" t="s">
        <v>37</v>
      </c>
      <c r="B487">
        <v>600</v>
      </c>
      <c r="C487">
        <v>8</v>
      </c>
    </row>
    <row r="488" spans="1:3" x14ac:dyDescent="0.2">
      <c r="A488" t="s">
        <v>37</v>
      </c>
      <c r="B488">
        <v>600</v>
      </c>
      <c r="C488">
        <v>8</v>
      </c>
    </row>
    <row r="489" spans="1:3" x14ac:dyDescent="0.2">
      <c r="A489" t="s">
        <v>37</v>
      </c>
      <c r="B489">
        <v>600</v>
      </c>
      <c r="C489">
        <v>8</v>
      </c>
    </row>
    <row r="490" spans="1:3" x14ac:dyDescent="0.2">
      <c r="A490" t="s">
        <v>37</v>
      </c>
      <c r="B490">
        <v>600</v>
      </c>
      <c r="C490">
        <v>4</v>
      </c>
    </row>
    <row r="491" spans="1:3" x14ac:dyDescent="0.2">
      <c r="A491" t="s">
        <v>37</v>
      </c>
      <c r="B491">
        <v>600</v>
      </c>
      <c r="C491">
        <v>8</v>
      </c>
    </row>
    <row r="492" spans="1:3" x14ac:dyDescent="0.2">
      <c r="A492" t="s">
        <v>37</v>
      </c>
      <c r="B492">
        <v>600</v>
      </c>
      <c r="C492">
        <v>8</v>
      </c>
    </row>
    <row r="493" spans="1:3" x14ac:dyDescent="0.2">
      <c r="A493" t="s">
        <v>37</v>
      </c>
      <c r="B493">
        <v>600</v>
      </c>
      <c r="C493">
        <v>8</v>
      </c>
    </row>
    <row r="494" spans="1:3" x14ac:dyDescent="0.2">
      <c r="A494" t="s">
        <v>37</v>
      </c>
      <c r="B494">
        <v>600</v>
      </c>
      <c r="C494">
        <v>8</v>
      </c>
    </row>
    <row r="495" spans="1:3" x14ac:dyDescent="0.2">
      <c r="A495" t="s">
        <v>37</v>
      </c>
      <c r="B495">
        <v>600</v>
      </c>
      <c r="C495">
        <v>8</v>
      </c>
    </row>
    <row r="496" spans="1:3" x14ac:dyDescent="0.2">
      <c r="A496" t="s">
        <v>37</v>
      </c>
      <c r="B496">
        <v>600</v>
      </c>
      <c r="C496">
        <v>8</v>
      </c>
    </row>
    <row r="497" spans="1:3" x14ac:dyDescent="0.2">
      <c r="A497" t="s">
        <v>37</v>
      </c>
      <c r="B497">
        <v>600</v>
      </c>
      <c r="C497">
        <v>8</v>
      </c>
    </row>
    <row r="498" spans="1:3" x14ac:dyDescent="0.2">
      <c r="A498" t="s">
        <v>37</v>
      </c>
      <c r="B498">
        <v>600</v>
      </c>
      <c r="C498">
        <v>8</v>
      </c>
    </row>
    <row r="499" spans="1:3" x14ac:dyDescent="0.2">
      <c r="A499" t="s">
        <v>37</v>
      </c>
      <c r="B499">
        <v>600</v>
      </c>
      <c r="C499">
        <v>8</v>
      </c>
    </row>
    <row r="500" spans="1:3" x14ac:dyDescent="0.2">
      <c r="A500" t="s">
        <v>37</v>
      </c>
      <c r="B500">
        <v>600</v>
      </c>
      <c r="C500">
        <v>8</v>
      </c>
    </row>
    <row r="501" spans="1:3" x14ac:dyDescent="0.2">
      <c r="A501" t="s">
        <v>37</v>
      </c>
      <c r="B501">
        <v>600</v>
      </c>
      <c r="C501">
        <v>8</v>
      </c>
    </row>
    <row r="502" spans="1:3" x14ac:dyDescent="0.2">
      <c r="A502" t="s">
        <v>37</v>
      </c>
      <c r="B502">
        <v>600</v>
      </c>
      <c r="C502">
        <v>8</v>
      </c>
    </row>
    <row r="503" spans="1:3" x14ac:dyDescent="0.2">
      <c r="A503" t="s">
        <v>37</v>
      </c>
      <c r="B503">
        <v>600</v>
      </c>
      <c r="C503">
        <v>8</v>
      </c>
    </row>
    <row r="504" spans="1:3" x14ac:dyDescent="0.2">
      <c r="A504" t="s">
        <v>38</v>
      </c>
      <c r="B504">
        <v>600</v>
      </c>
      <c r="C504">
        <v>8</v>
      </c>
    </row>
    <row r="505" spans="1:3" x14ac:dyDescent="0.2">
      <c r="A505" t="s">
        <v>38</v>
      </c>
      <c r="B505">
        <v>600</v>
      </c>
      <c r="C505">
        <v>8</v>
      </c>
    </row>
    <row r="506" spans="1:3" x14ac:dyDescent="0.2">
      <c r="A506" t="s">
        <v>38</v>
      </c>
      <c r="B506">
        <v>600</v>
      </c>
      <c r="C506">
        <v>8</v>
      </c>
    </row>
    <row r="507" spans="1:3" x14ac:dyDescent="0.2">
      <c r="A507" t="s">
        <v>38</v>
      </c>
      <c r="B507">
        <v>600</v>
      </c>
      <c r="C507">
        <v>4</v>
      </c>
    </row>
    <row r="508" spans="1:3" x14ac:dyDescent="0.2">
      <c r="A508" t="s">
        <v>38</v>
      </c>
      <c r="B508">
        <v>600</v>
      </c>
      <c r="C508">
        <v>8</v>
      </c>
    </row>
    <row r="509" spans="1:3" x14ac:dyDescent="0.2">
      <c r="A509" t="s">
        <v>38</v>
      </c>
      <c r="B509">
        <v>600</v>
      </c>
      <c r="C509">
        <v>8</v>
      </c>
    </row>
    <row r="510" spans="1:3" x14ac:dyDescent="0.2">
      <c r="A510" t="s">
        <v>38</v>
      </c>
      <c r="B510">
        <v>600</v>
      </c>
      <c r="C510">
        <v>4</v>
      </c>
    </row>
    <row r="511" spans="1:3" x14ac:dyDescent="0.2">
      <c r="A511" t="s">
        <v>38</v>
      </c>
      <c r="B511">
        <v>600</v>
      </c>
      <c r="C511">
        <v>4</v>
      </c>
    </row>
    <row r="512" spans="1:3" x14ac:dyDescent="0.2">
      <c r="A512" t="s">
        <v>38</v>
      </c>
      <c r="B512">
        <v>600</v>
      </c>
      <c r="C512">
        <v>8</v>
      </c>
    </row>
    <row r="513" spans="1:3" x14ac:dyDescent="0.2">
      <c r="A513" t="s">
        <v>38</v>
      </c>
      <c r="B513">
        <v>600</v>
      </c>
      <c r="C513">
        <v>8</v>
      </c>
    </row>
    <row r="514" spans="1:3" x14ac:dyDescent="0.2">
      <c r="A514" t="s">
        <v>38</v>
      </c>
      <c r="B514">
        <v>600</v>
      </c>
      <c r="C514">
        <v>8</v>
      </c>
    </row>
    <row r="515" spans="1:3" x14ac:dyDescent="0.2">
      <c r="A515" t="s">
        <v>38</v>
      </c>
      <c r="B515">
        <v>600</v>
      </c>
      <c r="C515">
        <v>4</v>
      </c>
    </row>
    <row r="516" spans="1:3" x14ac:dyDescent="0.2">
      <c r="A516" t="s">
        <v>38</v>
      </c>
      <c r="B516">
        <v>600</v>
      </c>
      <c r="C516">
        <v>8</v>
      </c>
    </row>
    <row r="517" spans="1:3" x14ac:dyDescent="0.2">
      <c r="A517" t="s">
        <v>38</v>
      </c>
      <c r="B517">
        <v>600</v>
      </c>
      <c r="C517">
        <v>8</v>
      </c>
    </row>
    <row r="518" spans="1:3" x14ac:dyDescent="0.2">
      <c r="A518" t="s">
        <v>38</v>
      </c>
      <c r="B518">
        <v>600</v>
      </c>
      <c r="C518">
        <v>4</v>
      </c>
    </row>
    <row r="519" spans="1:3" x14ac:dyDescent="0.2">
      <c r="A519" t="s">
        <v>38</v>
      </c>
      <c r="B519">
        <v>600</v>
      </c>
      <c r="C519">
        <v>4</v>
      </c>
    </row>
    <row r="520" spans="1:3" x14ac:dyDescent="0.2">
      <c r="A520" t="s">
        <v>38</v>
      </c>
      <c r="B520">
        <v>600</v>
      </c>
      <c r="C520">
        <v>8</v>
      </c>
    </row>
    <row r="521" spans="1:3" x14ac:dyDescent="0.2">
      <c r="A521" t="s">
        <v>38</v>
      </c>
      <c r="B521">
        <v>600</v>
      </c>
      <c r="C521">
        <v>8</v>
      </c>
    </row>
    <row r="522" spans="1:3" x14ac:dyDescent="0.2">
      <c r="A522" t="s">
        <v>38</v>
      </c>
      <c r="B522">
        <v>600</v>
      </c>
      <c r="C522">
        <v>8</v>
      </c>
    </row>
    <row r="523" spans="1:3" x14ac:dyDescent="0.2">
      <c r="A523" t="s">
        <v>38</v>
      </c>
      <c r="B523">
        <v>600</v>
      </c>
      <c r="C523">
        <v>8</v>
      </c>
    </row>
    <row r="524" spans="1:3" x14ac:dyDescent="0.2">
      <c r="A524" t="s">
        <v>38</v>
      </c>
      <c r="B524">
        <v>600</v>
      </c>
      <c r="C524">
        <v>8</v>
      </c>
    </row>
    <row r="525" spans="1:3" x14ac:dyDescent="0.2">
      <c r="A525" t="s">
        <v>38</v>
      </c>
      <c r="B525">
        <v>600</v>
      </c>
      <c r="C525">
        <v>8</v>
      </c>
    </row>
    <row r="526" spans="1:3" x14ac:dyDescent="0.2">
      <c r="A526" t="s">
        <v>38</v>
      </c>
      <c r="B526">
        <v>600</v>
      </c>
      <c r="C526">
        <v>8</v>
      </c>
    </row>
    <row r="527" spans="1:3" x14ac:dyDescent="0.2">
      <c r="A527" t="s">
        <v>38</v>
      </c>
      <c r="B527">
        <v>600</v>
      </c>
      <c r="C527">
        <v>8</v>
      </c>
    </row>
    <row r="528" spans="1:3" x14ac:dyDescent="0.2">
      <c r="A528" t="s">
        <v>38</v>
      </c>
      <c r="B528">
        <v>600</v>
      </c>
      <c r="C528">
        <v>8</v>
      </c>
    </row>
    <row r="529" spans="1:3" x14ac:dyDescent="0.2">
      <c r="A529" t="s">
        <v>38</v>
      </c>
      <c r="B529">
        <v>600</v>
      </c>
      <c r="C529">
        <v>8</v>
      </c>
    </row>
    <row r="530" spans="1:3" x14ac:dyDescent="0.2">
      <c r="A530" t="s">
        <v>38</v>
      </c>
      <c r="B530">
        <v>600</v>
      </c>
      <c r="C530">
        <v>8</v>
      </c>
    </row>
    <row r="531" spans="1:3" x14ac:dyDescent="0.2">
      <c r="A531" t="s">
        <v>38</v>
      </c>
      <c r="B531">
        <v>600</v>
      </c>
      <c r="C531">
        <v>8</v>
      </c>
    </row>
    <row r="532" spans="1:3" x14ac:dyDescent="0.2">
      <c r="A532" t="s">
        <v>38</v>
      </c>
      <c r="B532">
        <v>600</v>
      </c>
      <c r="C532">
        <v>8</v>
      </c>
    </row>
    <row r="533" spans="1:3" x14ac:dyDescent="0.2">
      <c r="A533" t="s">
        <v>38</v>
      </c>
      <c r="B533">
        <v>600</v>
      </c>
      <c r="C533">
        <v>8</v>
      </c>
    </row>
    <row r="534" spans="1:3" x14ac:dyDescent="0.2">
      <c r="A534" t="s">
        <v>38</v>
      </c>
      <c r="B534">
        <v>600</v>
      </c>
      <c r="C534">
        <v>8</v>
      </c>
    </row>
    <row r="535" spans="1:3" x14ac:dyDescent="0.2">
      <c r="A535" t="s">
        <v>38</v>
      </c>
      <c r="B535">
        <v>600</v>
      </c>
      <c r="C535">
        <v>8</v>
      </c>
    </row>
    <row r="536" spans="1:3" x14ac:dyDescent="0.2">
      <c r="A536" t="s">
        <v>38</v>
      </c>
      <c r="B536">
        <v>600</v>
      </c>
      <c r="C536">
        <v>8</v>
      </c>
    </row>
    <row r="537" spans="1:3" x14ac:dyDescent="0.2">
      <c r="A537" t="s">
        <v>38</v>
      </c>
      <c r="B537">
        <v>600</v>
      </c>
      <c r="C537">
        <v>8</v>
      </c>
    </row>
    <row r="538" spans="1:3" x14ac:dyDescent="0.2">
      <c r="A538" t="s">
        <v>38</v>
      </c>
      <c r="B538">
        <v>600</v>
      </c>
      <c r="C538">
        <v>8</v>
      </c>
    </row>
    <row r="539" spans="1:3" x14ac:dyDescent="0.2">
      <c r="A539" t="s">
        <v>38</v>
      </c>
      <c r="B539">
        <v>600</v>
      </c>
      <c r="C539">
        <v>8</v>
      </c>
    </row>
    <row r="540" spans="1:3" x14ac:dyDescent="0.2">
      <c r="A540" t="s">
        <v>38</v>
      </c>
      <c r="B540">
        <v>600</v>
      </c>
      <c r="C540">
        <v>4</v>
      </c>
    </row>
    <row r="541" spans="1:3" x14ac:dyDescent="0.2">
      <c r="A541" t="s">
        <v>38</v>
      </c>
      <c r="B541">
        <v>600</v>
      </c>
      <c r="C541">
        <v>8</v>
      </c>
    </row>
    <row r="542" spans="1:3" x14ac:dyDescent="0.2">
      <c r="A542" t="s">
        <v>38</v>
      </c>
      <c r="B542">
        <v>600</v>
      </c>
      <c r="C542">
        <v>8</v>
      </c>
    </row>
    <row r="543" spans="1:3" x14ac:dyDescent="0.2">
      <c r="A543" t="s">
        <v>38</v>
      </c>
      <c r="B543">
        <v>600</v>
      </c>
      <c r="C543">
        <v>8</v>
      </c>
    </row>
    <row r="544" spans="1:3" x14ac:dyDescent="0.2">
      <c r="A544" t="s">
        <v>38</v>
      </c>
      <c r="B544">
        <v>600</v>
      </c>
      <c r="C544">
        <v>8</v>
      </c>
    </row>
    <row r="545" spans="1:3" x14ac:dyDescent="0.2">
      <c r="A545" t="s">
        <v>38</v>
      </c>
      <c r="B545">
        <v>600</v>
      </c>
      <c r="C545">
        <v>8</v>
      </c>
    </row>
    <row r="546" spans="1:3" x14ac:dyDescent="0.2">
      <c r="A546" t="s">
        <v>38</v>
      </c>
      <c r="B546">
        <v>600</v>
      </c>
      <c r="C546">
        <v>8</v>
      </c>
    </row>
    <row r="547" spans="1:3" x14ac:dyDescent="0.2">
      <c r="A547" t="s">
        <v>38</v>
      </c>
      <c r="B547">
        <v>600</v>
      </c>
      <c r="C547">
        <v>8</v>
      </c>
    </row>
    <row r="548" spans="1:3" x14ac:dyDescent="0.2">
      <c r="A548" t="s">
        <v>38</v>
      </c>
      <c r="B548">
        <v>600</v>
      </c>
      <c r="C548">
        <v>4</v>
      </c>
    </row>
    <row r="549" spans="1:3" x14ac:dyDescent="0.2">
      <c r="A549" t="s">
        <v>38</v>
      </c>
      <c r="B549">
        <v>600</v>
      </c>
      <c r="C549">
        <v>8</v>
      </c>
    </row>
    <row r="550" spans="1:3" x14ac:dyDescent="0.2">
      <c r="A550" t="s">
        <v>38</v>
      </c>
      <c r="B550">
        <v>600</v>
      </c>
      <c r="C550">
        <v>8</v>
      </c>
    </row>
    <row r="551" spans="1:3" x14ac:dyDescent="0.2">
      <c r="A551" t="s">
        <v>38</v>
      </c>
      <c r="B551">
        <v>600</v>
      </c>
      <c r="C551">
        <v>8</v>
      </c>
    </row>
    <row r="552" spans="1:3" x14ac:dyDescent="0.2">
      <c r="A552" t="s">
        <v>38</v>
      </c>
      <c r="B552">
        <v>600</v>
      </c>
      <c r="C552">
        <v>8</v>
      </c>
    </row>
    <row r="553" spans="1:3" x14ac:dyDescent="0.2">
      <c r="A553" t="s">
        <v>38</v>
      </c>
      <c r="B553">
        <v>600</v>
      </c>
      <c r="C553">
        <v>8</v>
      </c>
    </row>
    <row r="554" spans="1:3" x14ac:dyDescent="0.2">
      <c r="A554" t="s">
        <v>38</v>
      </c>
      <c r="B554">
        <v>600</v>
      </c>
      <c r="C554">
        <v>8</v>
      </c>
    </row>
    <row r="555" spans="1:3" x14ac:dyDescent="0.2">
      <c r="A555" t="s">
        <v>38</v>
      </c>
      <c r="B555">
        <v>600</v>
      </c>
      <c r="C555">
        <v>8</v>
      </c>
    </row>
    <row r="556" spans="1:3" x14ac:dyDescent="0.2">
      <c r="A556" t="s">
        <v>38</v>
      </c>
      <c r="B556">
        <v>600</v>
      </c>
      <c r="C556">
        <v>8</v>
      </c>
    </row>
    <row r="557" spans="1:3" x14ac:dyDescent="0.2">
      <c r="A557" t="s">
        <v>38</v>
      </c>
      <c r="B557">
        <v>600</v>
      </c>
      <c r="C557">
        <v>4</v>
      </c>
    </row>
    <row r="558" spans="1:3" x14ac:dyDescent="0.2">
      <c r="A558" t="s">
        <v>38</v>
      </c>
      <c r="B558">
        <v>600</v>
      </c>
      <c r="C558">
        <v>8</v>
      </c>
    </row>
    <row r="559" spans="1:3" x14ac:dyDescent="0.2">
      <c r="A559" t="s">
        <v>38</v>
      </c>
      <c r="B559">
        <v>600</v>
      </c>
      <c r="C559">
        <v>8</v>
      </c>
    </row>
    <row r="560" spans="1:3" x14ac:dyDescent="0.2">
      <c r="A560" t="s">
        <v>38</v>
      </c>
      <c r="B560">
        <v>600</v>
      </c>
      <c r="C560">
        <v>8</v>
      </c>
    </row>
    <row r="561" spans="1:3" x14ac:dyDescent="0.2">
      <c r="A561" t="s">
        <v>38</v>
      </c>
      <c r="B561">
        <v>600</v>
      </c>
      <c r="C561">
        <v>8</v>
      </c>
    </row>
    <row r="562" spans="1:3" x14ac:dyDescent="0.2">
      <c r="A562" t="s">
        <v>38</v>
      </c>
      <c r="B562">
        <v>600</v>
      </c>
      <c r="C562">
        <v>4</v>
      </c>
    </row>
    <row r="563" spans="1:3" x14ac:dyDescent="0.2">
      <c r="A563" t="s">
        <v>38</v>
      </c>
      <c r="B563">
        <v>600</v>
      </c>
      <c r="C563">
        <v>8</v>
      </c>
    </row>
    <row r="564" spans="1:3" x14ac:dyDescent="0.2">
      <c r="A564" t="s">
        <v>38</v>
      </c>
      <c r="B564">
        <v>600</v>
      </c>
      <c r="C564">
        <v>8</v>
      </c>
    </row>
    <row r="565" spans="1:3" x14ac:dyDescent="0.2">
      <c r="A565" t="s">
        <v>38</v>
      </c>
      <c r="B565">
        <v>600</v>
      </c>
      <c r="C565">
        <v>8</v>
      </c>
    </row>
    <row r="566" spans="1:3" x14ac:dyDescent="0.2">
      <c r="A566" t="s">
        <v>38</v>
      </c>
      <c r="B566">
        <v>600</v>
      </c>
      <c r="C566">
        <v>8</v>
      </c>
    </row>
    <row r="567" spans="1:3" x14ac:dyDescent="0.2">
      <c r="A567" t="s">
        <v>38</v>
      </c>
      <c r="B567">
        <v>600</v>
      </c>
      <c r="C567">
        <v>8</v>
      </c>
    </row>
    <row r="568" spans="1:3" x14ac:dyDescent="0.2">
      <c r="A568" t="s">
        <v>38</v>
      </c>
      <c r="B568">
        <v>600</v>
      </c>
      <c r="C568">
        <v>4</v>
      </c>
    </row>
    <row r="569" spans="1:3" x14ac:dyDescent="0.2">
      <c r="A569" t="s">
        <v>38</v>
      </c>
      <c r="B569">
        <v>600</v>
      </c>
      <c r="C569">
        <v>8</v>
      </c>
    </row>
    <row r="570" spans="1:3" x14ac:dyDescent="0.2">
      <c r="A570" t="s">
        <v>38</v>
      </c>
      <c r="B570">
        <v>600</v>
      </c>
      <c r="C570">
        <v>4</v>
      </c>
    </row>
    <row r="571" spans="1:3" x14ac:dyDescent="0.2">
      <c r="A571" t="s">
        <v>38</v>
      </c>
      <c r="B571">
        <v>600</v>
      </c>
      <c r="C571">
        <v>4</v>
      </c>
    </row>
    <row r="572" spans="1:3" x14ac:dyDescent="0.2">
      <c r="A572" t="s">
        <v>38</v>
      </c>
      <c r="B572">
        <v>600</v>
      </c>
      <c r="C572">
        <v>8</v>
      </c>
    </row>
    <row r="573" spans="1:3" x14ac:dyDescent="0.2">
      <c r="A573" t="s">
        <v>38</v>
      </c>
      <c r="B573">
        <v>600</v>
      </c>
      <c r="C573">
        <v>8</v>
      </c>
    </row>
    <row r="574" spans="1:3" x14ac:dyDescent="0.2">
      <c r="A574" t="s">
        <v>38</v>
      </c>
      <c r="B574">
        <v>600</v>
      </c>
      <c r="C574">
        <v>8</v>
      </c>
    </row>
    <row r="575" spans="1:3" x14ac:dyDescent="0.2">
      <c r="A575" t="s">
        <v>38</v>
      </c>
      <c r="B575">
        <v>600</v>
      </c>
      <c r="C575">
        <v>8</v>
      </c>
    </row>
    <row r="576" spans="1:3" x14ac:dyDescent="0.2">
      <c r="A576" t="s">
        <v>38</v>
      </c>
      <c r="B576">
        <v>600</v>
      </c>
      <c r="C576">
        <v>8</v>
      </c>
    </row>
    <row r="577" spans="1:3" x14ac:dyDescent="0.2">
      <c r="A577" t="s">
        <v>38</v>
      </c>
      <c r="B577">
        <v>600</v>
      </c>
      <c r="C577">
        <v>8</v>
      </c>
    </row>
    <row r="578" spans="1:3" x14ac:dyDescent="0.2">
      <c r="A578" t="s">
        <v>38</v>
      </c>
      <c r="B578">
        <v>600</v>
      </c>
      <c r="C578">
        <v>8</v>
      </c>
    </row>
    <row r="579" spans="1:3" x14ac:dyDescent="0.2">
      <c r="A579" t="s">
        <v>38</v>
      </c>
      <c r="B579">
        <v>600</v>
      </c>
      <c r="C579">
        <v>8</v>
      </c>
    </row>
    <row r="580" spans="1:3" x14ac:dyDescent="0.2">
      <c r="A580" t="s">
        <v>38</v>
      </c>
      <c r="B580">
        <v>600</v>
      </c>
      <c r="C580">
        <v>8</v>
      </c>
    </row>
    <row r="581" spans="1:3" x14ac:dyDescent="0.2">
      <c r="A581" t="s">
        <v>38</v>
      </c>
      <c r="B581">
        <v>600</v>
      </c>
      <c r="C581">
        <v>8</v>
      </c>
    </row>
    <row r="582" spans="1:3" x14ac:dyDescent="0.2">
      <c r="A582" t="s">
        <v>38</v>
      </c>
      <c r="B582">
        <v>600</v>
      </c>
      <c r="C582">
        <v>8</v>
      </c>
    </row>
    <row r="583" spans="1:3" x14ac:dyDescent="0.2">
      <c r="A583" t="s">
        <v>38</v>
      </c>
      <c r="B583">
        <v>600</v>
      </c>
      <c r="C583">
        <v>8</v>
      </c>
    </row>
    <row r="584" spans="1:3" x14ac:dyDescent="0.2">
      <c r="A584" t="s">
        <v>38</v>
      </c>
      <c r="B584">
        <v>600</v>
      </c>
      <c r="C584">
        <v>8</v>
      </c>
    </row>
    <row r="585" spans="1:3" x14ac:dyDescent="0.2">
      <c r="A585" t="s">
        <v>38</v>
      </c>
      <c r="B585">
        <v>600</v>
      </c>
      <c r="C585">
        <v>8</v>
      </c>
    </row>
    <row r="586" spans="1:3" x14ac:dyDescent="0.2">
      <c r="A586" t="s">
        <v>38</v>
      </c>
      <c r="B586">
        <v>600</v>
      </c>
      <c r="C586">
        <v>8</v>
      </c>
    </row>
    <row r="587" spans="1:3" x14ac:dyDescent="0.2">
      <c r="A587" t="s">
        <v>38</v>
      </c>
      <c r="B587">
        <v>600</v>
      </c>
      <c r="C587">
        <v>8</v>
      </c>
    </row>
    <row r="588" spans="1:3" x14ac:dyDescent="0.2">
      <c r="A588" t="s">
        <v>38</v>
      </c>
      <c r="B588">
        <v>600</v>
      </c>
      <c r="C588">
        <v>8</v>
      </c>
    </row>
    <row r="589" spans="1:3" x14ac:dyDescent="0.2">
      <c r="A589" t="s">
        <v>38</v>
      </c>
      <c r="B589">
        <v>600</v>
      </c>
      <c r="C589">
        <v>8</v>
      </c>
    </row>
    <row r="590" spans="1:3" x14ac:dyDescent="0.2">
      <c r="A590" t="s">
        <v>38</v>
      </c>
      <c r="B590">
        <v>600</v>
      </c>
      <c r="C590">
        <v>8</v>
      </c>
    </row>
    <row r="591" spans="1:3" x14ac:dyDescent="0.2">
      <c r="A591" t="s">
        <v>38</v>
      </c>
      <c r="B591">
        <v>600</v>
      </c>
      <c r="C591">
        <v>8</v>
      </c>
    </row>
    <row r="592" spans="1:3" x14ac:dyDescent="0.2">
      <c r="A592" t="s">
        <v>38</v>
      </c>
      <c r="B592">
        <v>600</v>
      </c>
      <c r="C592">
        <v>8</v>
      </c>
    </row>
    <row r="593" spans="1:3" x14ac:dyDescent="0.2">
      <c r="A593" t="s">
        <v>38</v>
      </c>
      <c r="B593">
        <v>600</v>
      </c>
      <c r="C593">
        <v>8</v>
      </c>
    </row>
    <row r="594" spans="1:3" x14ac:dyDescent="0.2">
      <c r="A594" t="s">
        <v>38</v>
      </c>
      <c r="B594">
        <v>600</v>
      </c>
      <c r="C594">
        <v>8</v>
      </c>
    </row>
    <row r="595" spans="1:3" x14ac:dyDescent="0.2">
      <c r="A595" t="s">
        <v>38</v>
      </c>
      <c r="B595">
        <v>600</v>
      </c>
      <c r="C595">
        <v>4</v>
      </c>
    </row>
    <row r="596" spans="1:3" x14ac:dyDescent="0.2">
      <c r="A596" t="s">
        <v>38</v>
      </c>
      <c r="B596">
        <v>600</v>
      </c>
      <c r="C596">
        <v>8</v>
      </c>
    </row>
    <row r="597" spans="1:3" x14ac:dyDescent="0.2">
      <c r="A597" t="s">
        <v>38</v>
      </c>
      <c r="B597">
        <v>600</v>
      </c>
      <c r="C597">
        <v>8</v>
      </c>
    </row>
    <row r="598" spans="1:3" x14ac:dyDescent="0.2">
      <c r="A598" t="s">
        <v>38</v>
      </c>
      <c r="B598">
        <v>600</v>
      </c>
      <c r="C598">
        <v>8</v>
      </c>
    </row>
    <row r="599" spans="1:3" x14ac:dyDescent="0.2">
      <c r="A599" t="s">
        <v>38</v>
      </c>
      <c r="B599">
        <v>600</v>
      </c>
      <c r="C599">
        <v>8</v>
      </c>
    </row>
    <row r="600" spans="1:3" x14ac:dyDescent="0.2">
      <c r="A600" t="s">
        <v>38</v>
      </c>
      <c r="B600">
        <v>600</v>
      </c>
      <c r="C600">
        <v>8</v>
      </c>
    </row>
    <row r="601" spans="1:3" x14ac:dyDescent="0.2">
      <c r="A601" t="s">
        <v>38</v>
      </c>
      <c r="B601">
        <v>600</v>
      </c>
      <c r="C601">
        <v>8</v>
      </c>
    </row>
    <row r="602" spans="1:3" x14ac:dyDescent="0.2">
      <c r="A602" t="s">
        <v>38</v>
      </c>
      <c r="B602">
        <v>600</v>
      </c>
      <c r="C602">
        <v>8</v>
      </c>
    </row>
    <row r="603" spans="1:3" x14ac:dyDescent="0.2">
      <c r="A603" t="s">
        <v>38</v>
      </c>
      <c r="B603">
        <v>600</v>
      </c>
      <c r="C603">
        <v>4</v>
      </c>
    </row>
    <row r="604" spans="1:3" x14ac:dyDescent="0.2">
      <c r="A604" t="s">
        <v>39</v>
      </c>
      <c r="B604">
        <v>592</v>
      </c>
      <c r="C604">
        <v>16</v>
      </c>
    </row>
    <row r="605" spans="1:3" x14ac:dyDescent="0.2">
      <c r="A605" t="s">
        <v>39</v>
      </c>
      <c r="B605">
        <v>600</v>
      </c>
      <c r="C605">
        <v>8</v>
      </c>
    </row>
    <row r="606" spans="1:3" x14ac:dyDescent="0.2">
      <c r="A606" t="s">
        <v>39</v>
      </c>
      <c r="B606">
        <v>600</v>
      </c>
      <c r="C606">
        <v>8</v>
      </c>
    </row>
    <row r="607" spans="1:3" x14ac:dyDescent="0.2">
      <c r="A607" t="s">
        <v>39</v>
      </c>
      <c r="B607">
        <v>600</v>
      </c>
      <c r="C607">
        <v>8</v>
      </c>
    </row>
    <row r="608" spans="1:3" x14ac:dyDescent="0.2">
      <c r="A608" t="s">
        <v>39</v>
      </c>
      <c r="B608">
        <v>600</v>
      </c>
      <c r="C608">
        <v>8</v>
      </c>
    </row>
    <row r="609" spans="1:3" x14ac:dyDescent="0.2">
      <c r="A609" t="s">
        <v>39</v>
      </c>
      <c r="B609">
        <v>592</v>
      </c>
      <c r="C609">
        <v>16</v>
      </c>
    </row>
    <row r="610" spans="1:3" x14ac:dyDescent="0.2">
      <c r="A610" t="s">
        <v>39</v>
      </c>
      <c r="B610">
        <v>600</v>
      </c>
      <c r="C610">
        <v>8</v>
      </c>
    </row>
    <row r="611" spans="1:3" x14ac:dyDescent="0.2">
      <c r="A611" t="s">
        <v>39</v>
      </c>
      <c r="B611">
        <v>586</v>
      </c>
      <c r="C611">
        <v>22</v>
      </c>
    </row>
    <row r="612" spans="1:3" x14ac:dyDescent="0.2">
      <c r="A612" t="s">
        <v>39</v>
      </c>
      <c r="B612">
        <v>600</v>
      </c>
      <c r="C612">
        <v>8</v>
      </c>
    </row>
    <row r="613" spans="1:3" x14ac:dyDescent="0.2">
      <c r="A613" t="s">
        <v>39</v>
      </c>
      <c r="B613">
        <v>590</v>
      </c>
      <c r="C613">
        <v>18</v>
      </c>
    </row>
    <row r="614" spans="1:3" x14ac:dyDescent="0.2">
      <c r="A614" t="s">
        <v>39</v>
      </c>
      <c r="B614">
        <v>600</v>
      </c>
      <c r="C614">
        <v>8</v>
      </c>
    </row>
    <row r="615" spans="1:3" x14ac:dyDescent="0.2">
      <c r="A615" t="s">
        <v>39</v>
      </c>
      <c r="B615">
        <v>590</v>
      </c>
      <c r="C615">
        <v>18</v>
      </c>
    </row>
    <row r="616" spans="1:3" x14ac:dyDescent="0.2">
      <c r="A616" t="s">
        <v>39</v>
      </c>
      <c r="B616">
        <v>600</v>
      </c>
      <c r="C616">
        <v>4</v>
      </c>
    </row>
    <row r="617" spans="1:3" x14ac:dyDescent="0.2">
      <c r="A617" t="s">
        <v>39</v>
      </c>
      <c r="B617">
        <v>600</v>
      </c>
      <c r="C617">
        <v>8</v>
      </c>
    </row>
    <row r="618" spans="1:3" x14ac:dyDescent="0.2">
      <c r="A618" t="s">
        <v>39</v>
      </c>
      <c r="B618">
        <v>600</v>
      </c>
      <c r="C618">
        <v>8</v>
      </c>
    </row>
    <row r="619" spans="1:3" x14ac:dyDescent="0.2">
      <c r="A619" t="s">
        <v>39</v>
      </c>
      <c r="B619">
        <v>600</v>
      </c>
      <c r="C619">
        <v>8</v>
      </c>
    </row>
    <row r="620" spans="1:3" x14ac:dyDescent="0.2">
      <c r="A620" t="s">
        <v>39</v>
      </c>
      <c r="B620">
        <v>594</v>
      </c>
      <c r="C620">
        <v>14</v>
      </c>
    </row>
    <row r="621" spans="1:3" x14ac:dyDescent="0.2">
      <c r="A621" t="s">
        <v>39</v>
      </c>
      <c r="B621">
        <v>594</v>
      </c>
      <c r="C621">
        <v>14</v>
      </c>
    </row>
    <row r="622" spans="1:3" x14ac:dyDescent="0.2">
      <c r="A622" t="s">
        <v>39</v>
      </c>
      <c r="B622">
        <v>592</v>
      </c>
      <c r="C622">
        <v>16</v>
      </c>
    </row>
    <row r="623" spans="1:3" x14ac:dyDescent="0.2">
      <c r="A623" t="s">
        <v>39</v>
      </c>
      <c r="B623">
        <v>600</v>
      </c>
      <c r="C623">
        <v>4</v>
      </c>
    </row>
    <row r="624" spans="1:3" x14ac:dyDescent="0.2">
      <c r="A624" t="s">
        <v>39</v>
      </c>
      <c r="B624">
        <v>590</v>
      </c>
      <c r="C624">
        <v>18</v>
      </c>
    </row>
    <row r="625" spans="1:3" x14ac:dyDescent="0.2">
      <c r="A625" t="s">
        <v>39</v>
      </c>
      <c r="B625">
        <v>600</v>
      </c>
      <c r="C625">
        <v>8</v>
      </c>
    </row>
    <row r="626" spans="1:3" x14ac:dyDescent="0.2">
      <c r="A626" t="s">
        <v>39</v>
      </c>
      <c r="B626">
        <v>600</v>
      </c>
      <c r="C626">
        <v>8</v>
      </c>
    </row>
    <row r="627" spans="1:3" x14ac:dyDescent="0.2">
      <c r="A627" t="s">
        <v>39</v>
      </c>
      <c r="B627">
        <v>600</v>
      </c>
      <c r="C627">
        <v>8</v>
      </c>
    </row>
    <row r="628" spans="1:3" x14ac:dyDescent="0.2">
      <c r="A628" t="s">
        <v>39</v>
      </c>
      <c r="B628">
        <v>600</v>
      </c>
      <c r="C628">
        <v>8</v>
      </c>
    </row>
    <row r="629" spans="1:3" x14ac:dyDescent="0.2">
      <c r="A629" t="s">
        <v>39</v>
      </c>
      <c r="B629">
        <v>600</v>
      </c>
      <c r="C629">
        <v>8</v>
      </c>
    </row>
    <row r="630" spans="1:3" x14ac:dyDescent="0.2">
      <c r="A630" t="s">
        <v>39</v>
      </c>
      <c r="B630">
        <v>590</v>
      </c>
      <c r="C630">
        <v>18</v>
      </c>
    </row>
    <row r="631" spans="1:3" x14ac:dyDescent="0.2">
      <c r="A631" t="s">
        <v>39</v>
      </c>
      <c r="B631">
        <v>600</v>
      </c>
      <c r="C631">
        <v>8</v>
      </c>
    </row>
    <row r="632" spans="1:3" x14ac:dyDescent="0.2">
      <c r="A632" t="s">
        <v>39</v>
      </c>
      <c r="B632">
        <v>600</v>
      </c>
      <c r="C632">
        <v>8</v>
      </c>
    </row>
    <row r="633" spans="1:3" x14ac:dyDescent="0.2">
      <c r="A633" t="s">
        <v>39</v>
      </c>
      <c r="B633">
        <v>594</v>
      </c>
      <c r="C633">
        <v>14</v>
      </c>
    </row>
    <row r="634" spans="1:3" x14ac:dyDescent="0.2">
      <c r="A634" t="s">
        <v>39</v>
      </c>
      <c r="B634">
        <v>594</v>
      </c>
      <c r="C634">
        <v>14</v>
      </c>
    </row>
    <row r="635" spans="1:3" x14ac:dyDescent="0.2">
      <c r="A635" t="s">
        <v>39</v>
      </c>
      <c r="B635">
        <v>600</v>
      </c>
      <c r="C635">
        <v>8</v>
      </c>
    </row>
    <row r="636" spans="1:3" x14ac:dyDescent="0.2">
      <c r="A636" t="s">
        <v>39</v>
      </c>
      <c r="B636">
        <v>600</v>
      </c>
      <c r="C636">
        <v>8</v>
      </c>
    </row>
    <row r="637" spans="1:3" x14ac:dyDescent="0.2">
      <c r="A637" t="s">
        <v>39</v>
      </c>
      <c r="B637">
        <v>594</v>
      </c>
      <c r="C637">
        <v>14</v>
      </c>
    </row>
    <row r="638" spans="1:3" x14ac:dyDescent="0.2">
      <c r="A638" t="s">
        <v>39</v>
      </c>
      <c r="B638">
        <v>600</v>
      </c>
      <c r="C638">
        <v>8</v>
      </c>
    </row>
    <row r="639" spans="1:3" x14ac:dyDescent="0.2">
      <c r="A639" t="s">
        <v>39</v>
      </c>
      <c r="B639">
        <v>600</v>
      </c>
      <c r="C639">
        <v>8</v>
      </c>
    </row>
    <row r="640" spans="1:3" x14ac:dyDescent="0.2">
      <c r="A640" t="s">
        <v>39</v>
      </c>
      <c r="B640">
        <v>600</v>
      </c>
      <c r="C640">
        <v>8</v>
      </c>
    </row>
    <row r="641" spans="1:3" x14ac:dyDescent="0.2">
      <c r="A641" t="s">
        <v>39</v>
      </c>
      <c r="B641">
        <v>600</v>
      </c>
      <c r="C641">
        <v>4</v>
      </c>
    </row>
    <row r="642" spans="1:3" x14ac:dyDescent="0.2">
      <c r="A642" t="s">
        <v>39</v>
      </c>
      <c r="B642">
        <v>600</v>
      </c>
      <c r="C642">
        <v>4</v>
      </c>
    </row>
    <row r="643" spans="1:3" x14ac:dyDescent="0.2">
      <c r="A643" t="s">
        <v>39</v>
      </c>
      <c r="B643">
        <v>600</v>
      </c>
      <c r="C643">
        <v>8</v>
      </c>
    </row>
    <row r="644" spans="1:3" x14ac:dyDescent="0.2">
      <c r="A644" t="s">
        <v>39</v>
      </c>
      <c r="B644">
        <v>594</v>
      </c>
      <c r="C644">
        <v>14</v>
      </c>
    </row>
    <row r="645" spans="1:3" x14ac:dyDescent="0.2">
      <c r="A645" t="s">
        <v>39</v>
      </c>
      <c r="B645">
        <v>600</v>
      </c>
      <c r="C645">
        <v>8</v>
      </c>
    </row>
    <row r="646" spans="1:3" x14ac:dyDescent="0.2">
      <c r="A646" t="s">
        <v>39</v>
      </c>
      <c r="B646">
        <v>590</v>
      </c>
      <c r="C646">
        <v>18</v>
      </c>
    </row>
    <row r="647" spans="1:3" x14ac:dyDescent="0.2">
      <c r="A647" t="s">
        <v>39</v>
      </c>
      <c r="B647">
        <v>600</v>
      </c>
      <c r="C647">
        <v>8</v>
      </c>
    </row>
    <row r="648" spans="1:3" x14ac:dyDescent="0.2">
      <c r="A648" t="s">
        <v>39</v>
      </c>
      <c r="B648">
        <v>594</v>
      </c>
      <c r="C648">
        <v>14</v>
      </c>
    </row>
    <row r="649" spans="1:3" x14ac:dyDescent="0.2">
      <c r="A649" t="s">
        <v>39</v>
      </c>
      <c r="B649">
        <v>600</v>
      </c>
      <c r="C649">
        <v>8</v>
      </c>
    </row>
    <row r="650" spans="1:3" x14ac:dyDescent="0.2">
      <c r="A650" t="s">
        <v>39</v>
      </c>
      <c r="B650">
        <v>600</v>
      </c>
      <c r="C650">
        <v>8</v>
      </c>
    </row>
    <row r="651" spans="1:3" x14ac:dyDescent="0.2">
      <c r="A651" t="s">
        <v>39</v>
      </c>
      <c r="B651">
        <v>600</v>
      </c>
      <c r="C651">
        <v>4</v>
      </c>
    </row>
    <row r="652" spans="1:3" x14ac:dyDescent="0.2">
      <c r="A652" t="s">
        <v>39</v>
      </c>
      <c r="B652">
        <v>594</v>
      </c>
      <c r="C652">
        <v>14</v>
      </c>
    </row>
    <row r="653" spans="1:3" x14ac:dyDescent="0.2">
      <c r="A653" t="s">
        <v>39</v>
      </c>
      <c r="B653">
        <v>600</v>
      </c>
      <c r="C653">
        <v>8</v>
      </c>
    </row>
    <row r="654" spans="1:3" x14ac:dyDescent="0.2">
      <c r="A654" t="s">
        <v>39</v>
      </c>
      <c r="B654">
        <v>600</v>
      </c>
      <c r="C654">
        <v>8</v>
      </c>
    </row>
    <row r="655" spans="1:3" x14ac:dyDescent="0.2">
      <c r="A655" t="s">
        <v>39</v>
      </c>
      <c r="B655">
        <v>600</v>
      </c>
      <c r="C655">
        <v>8</v>
      </c>
    </row>
    <row r="656" spans="1:3" x14ac:dyDescent="0.2">
      <c r="A656" t="s">
        <v>39</v>
      </c>
      <c r="B656">
        <v>594</v>
      </c>
      <c r="C656">
        <v>14</v>
      </c>
    </row>
    <row r="657" spans="1:3" x14ac:dyDescent="0.2">
      <c r="A657" t="s">
        <v>39</v>
      </c>
      <c r="B657">
        <v>588</v>
      </c>
      <c r="C657">
        <v>20</v>
      </c>
    </row>
    <row r="658" spans="1:3" x14ac:dyDescent="0.2">
      <c r="A658" t="s">
        <v>39</v>
      </c>
      <c r="B658">
        <v>600</v>
      </c>
      <c r="C658">
        <v>8</v>
      </c>
    </row>
    <row r="659" spans="1:3" x14ac:dyDescent="0.2">
      <c r="A659" t="s">
        <v>39</v>
      </c>
      <c r="B659">
        <v>600</v>
      </c>
      <c r="C659">
        <v>8</v>
      </c>
    </row>
    <row r="660" spans="1:3" x14ac:dyDescent="0.2">
      <c r="A660" t="s">
        <v>39</v>
      </c>
      <c r="B660">
        <v>592</v>
      </c>
      <c r="C660">
        <v>16</v>
      </c>
    </row>
    <row r="661" spans="1:3" x14ac:dyDescent="0.2">
      <c r="A661" t="s">
        <v>39</v>
      </c>
      <c r="B661">
        <v>600</v>
      </c>
      <c r="C661">
        <v>8</v>
      </c>
    </row>
    <row r="662" spans="1:3" x14ac:dyDescent="0.2">
      <c r="A662" t="s">
        <v>39</v>
      </c>
      <c r="B662">
        <v>588</v>
      </c>
      <c r="C662">
        <v>20</v>
      </c>
    </row>
    <row r="663" spans="1:3" x14ac:dyDescent="0.2">
      <c r="A663" t="s">
        <v>39</v>
      </c>
      <c r="B663">
        <v>600</v>
      </c>
      <c r="C663">
        <v>8</v>
      </c>
    </row>
    <row r="664" spans="1:3" x14ac:dyDescent="0.2">
      <c r="A664" t="s">
        <v>39</v>
      </c>
      <c r="B664">
        <v>594</v>
      </c>
      <c r="C664">
        <v>14</v>
      </c>
    </row>
    <row r="665" spans="1:3" x14ac:dyDescent="0.2">
      <c r="A665" t="s">
        <v>39</v>
      </c>
      <c r="B665">
        <v>594</v>
      </c>
      <c r="C665">
        <v>14</v>
      </c>
    </row>
    <row r="666" spans="1:3" x14ac:dyDescent="0.2">
      <c r="A666" t="s">
        <v>39</v>
      </c>
      <c r="B666">
        <v>600</v>
      </c>
      <c r="C666">
        <v>8</v>
      </c>
    </row>
    <row r="667" spans="1:3" x14ac:dyDescent="0.2">
      <c r="A667" t="s">
        <v>39</v>
      </c>
      <c r="B667">
        <v>590</v>
      </c>
      <c r="C667">
        <v>18</v>
      </c>
    </row>
    <row r="668" spans="1:3" x14ac:dyDescent="0.2">
      <c r="A668" t="s">
        <v>39</v>
      </c>
      <c r="B668">
        <v>592</v>
      </c>
      <c r="C668">
        <v>16</v>
      </c>
    </row>
    <row r="669" spans="1:3" x14ac:dyDescent="0.2">
      <c r="A669" t="s">
        <v>39</v>
      </c>
      <c r="B669">
        <v>600</v>
      </c>
      <c r="C669">
        <v>8</v>
      </c>
    </row>
    <row r="670" spans="1:3" x14ac:dyDescent="0.2">
      <c r="A670" t="s">
        <v>39</v>
      </c>
      <c r="B670">
        <v>588</v>
      </c>
      <c r="C670">
        <v>20</v>
      </c>
    </row>
    <row r="671" spans="1:3" x14ac:dyDescent="0.2">
      <c r="A671" t="s">
        <v>39</v>
      </c>
      <c r="B671">
        <v>600</v>
      </c>
      <c r="C671">
        <v>8</v>
      </c>
    </row>
    <row r="672" spans="1:3" x14ac:dyDescent="0.2">
      <c r="A672" t="s">
        <v>39</v>
      </c>
      <c r="B672">
        <v>600</v>
      </c>
      <c r="C672">
        <v>8</v>
      </c>
    </row>
    <row r="673" spans="1:3" x14ac:dyDescent="0.2">
      <c r="A673" t="s">
        <v>39</v>
      </c>
      <c r="B673">
        <v>586</v>
      </c>
      <c r="C673">
        <v>22</v>
      </c>
    </row>
    <row r="674" spans="1:3" x14ac:dyDescent="0.2">
      <c r="A674" t="s">
        <v>39</v>
      </c>
      <c r="B674">
        <v>600</v>
      </c>
      <c r="C674">
        <v>8</v>
      </c>
    </row>
    <row r="675" spans="1:3" x14ac:dyDescent="0.2">
      <c r="A675" t="s">
        <v>39</v>
      </c>
      <c r="B675">
        <v>600</v>
      </c>
      <c r="C675">
        <v>8</v>
      </c>
    </row>
    <row r="676" spans="1:3" x14ac:dyDescent="0.2">
      <c r="A676" t="s">
        <v>39</v>
      </c>
      <c r="B676">
        <v>600</v>
      </c>
      <c r="C676">
        <v>8</v>
      </c>
    </row>
    <row r="677" spans="1:3" x14ac:dyDescent="0.2">
      <c r="A677" t="s">
        <v>39</v>
      </c>
      <c r="B677">
        <v>600</v>
      </c>
      <c r="C677">
        <v>4</v>
      </c>
    </row>
    <row r="678" spans="1:3" x14ac:dyDescent="0.2">
      <c r="A678" t="s">
        <v>39</v>
      </c>
      <c r="B678">
        <v>600</v>
      </c>
      <c r="C678">
        <v>4</v>
      </c>
    </row>
    <row r="679" spans="1:3" x14ac:dyDescent="0.2">
      <c r="A679" t="s">
        <v>39</v>
      </c>
      <c r="B679">
        <v>600</v>
      </c>
      <c r="C679">
        <v>4</v>
      </c>
    </row>
    <row r="680" spans="1:3" x14ac:dyDescent="0.2">
      <c r="A680" t="s">
        <v>39</v>
      </c>
      <c r="B680">
        <v>600</v>
      </c>
      <c r="C680">
        <v>8</v>
      </c>
    </row>
    <row r="681" spans="1:3" x14ac:dyDescent="0.2">
      <c r="A681" t="s">
        <v>39</v>
      </c>
      <c r="B681">
        <v>588</v>
      </c>
      <c r="C681">
        <v>20</v>
      </c>
    </row>
    <row r="682" spans="1:3" x14ac:dyDescent="0.2">
      <c r="A682" t="s">
        <v>39</v>
      </c>
      <c r="B682">
        <v>594</v>
      </c>
      <c r="C682">
        <v>14</v>
      </c>
    </row>
    <row r="683" spans="1:3" x14ac:dyDescent="0.2">
      <c r="A683" t="s">
        <v>39</v>
      </c>
      <c r="B683">
        <v>600</v>
      </c>
      <c r="C683">
        <v>8</v>
      </c>
    </row>
    <row r="684" spans="1:3" x14ac:dyDescent="0.2">
      <c r="A684" t="s">
        <v>39</v>
      </c>
      <c r="B684">
        <v>600</v>
      </c>
      <c r="C684">
        <v>4</v>
      </c>
    </row>
    <row r="685" spans="1:3" x14ac:dyDescent="0.2">
      <c r="A685" t="s">
        <v>39</v>
      </c>
      <c r="B685">
        <v>592</v>
      </c>
      <c r="C685">
        <v>16</v>
      </c>
    </row>
    <row r="686" spans="1:3" x14ac:dyDescent="0.2">
      <c r="A686" t="s">
        <v>39</v>
      </c>
      <c r="B686">
        <v>600</v>
      </c>
      <c r="C686">
        <v>8</v>
      </c>
    </row>
    <row r="687" spans="1:3" x14ac:dyDescent="0.2">
      <c r="A687" t="s">
        <v>39</v>
      </c>
      <c r="B687">
        <v>594</v>
      </c>
      <c r="C687">
        <v>14</v>
      </c>
    </row>
    <row r="688" spans="1:3" x14ac:dyDescent="0.2">
      <c r="A688" t="s">
        <v>39</v>
      </c>
      <c r="B688">
        <v>600</v>
      </c>
      <c r="C688">
        <v>8</v>
      </c>
    </row>
    <row r="689" spans="1:3" x14ac:dyDescent="0.2">
      <c r="A689" t="s">
        <v>39</v>
      </c>
      <c r="B689">
        <v>600</v>
      </c>
      <c r="C689">
        <v>8</v>
      </c>
    </row>
    <row r="690" spans="1:3" x14ac:dyDescent="0.2">
      <c r="A690" t="s">
        <v>39</v>
      </c>
      <c r="B690">
        <v>600</v>
      </c>
      <c r="C690">
        <v>8</v>
      </c>
    </row>
    <row r="691" spans="1:3" x14ac:dyDescent="0.2">
      <c r="A691" t="s">
        <v>39</v>
      </c>
      <c r="B691">
        <v>594</v>
      </c>
      <c r="C691">
        <v>14</v>
      </c>
    </row>
    <row r="692" spans="1:3" x14ac:dyDescent="0.2">
      <c r="A692" t="s">
        <v>39</v>
      </c>
      <c r="B692">
        <v>590</v>
      </c>
      <c r="C692">
        <v>18</v>
      </c>
    </row>
    <row r="693" spans="1:3" x14ac:dyDescent="0.2">
      <c r="A693" t="s">
        <v>39</v>
      </c>
      <c r="B693">
        <v>600</v>
      </c>
      <c r="C693">
        <v>8</v>
      </c>
    </row>
    <row r="694" spans="1:3" x14ac:dyDescent="0.2">
      <c r="A694" t="s">
        <v>39</v>
      </c>
      <c r="B694">
        <v>600</v>
      </c>
      <c r="C694">
        <v>4</v>
      </c>
    </row>
    <row r="695" spans="1:3" x14ac:dyDescent="0.2">
      <c r="A695" t="s">
        <v>39</v>
      </c>
      <c r="B695">
        <v>600</v>
      </c>
      <c r="C695">
        <v>8</v>
      </c>
    </row>
    <row r="696" spans="1:3" x14ac:dyDescent="0.2">
      <c r="A696" t="s">
        <v>39</v>
      </c>
      <c r="B696">
        <v>600</v>
      </c>
      <c r="C696">
        <v>8</v>
      </c>
    </row>
    <row r="697" spans="1:3" x14ac:dyDescent="0.2">
      <c r="A697" t="s">
        <v>39</v>
      </c>
      <c r="B697">
        <v>600</v>
      </c>
      <c r="C697">
        <v>8</v>
      </c>
    </row>
    <row r="698" spans="1:3" x14ac:dyDescent="0.2">
      <c r="A698" t="s">
        <v>39</v>
      </c>
      <c r="B698">
        <v>600</v>
      </c>
      <c r="C698">
        <v>8</v>
      </c>
    </row>
    <row r="699" spans="1:3" x14ac:dyDescent="0.2">
      <c r="A699" t="s">
        <v>39</v>
      </c>
      <c r="B699">
        <v>600</v>
      </c>
      <c r="C699">
        <v>8</v>
      </c>
    </row>
    <row r="700" spans="1:3" x14ac:dyDescent="0.2">
      <c r="A700" t="s">
        <v>39</v>
      </c>
      <c r="B700">
        <v>590</v>
      </c>
      <c r="C700">
        <v>18</v>
      </c>
    </row>
    <row r="701" spans="1:3" x14ac:dyDescent="0.2">
      <c r="A701" t="s">
        <v>39</v>
      </c>
      <c r="B701">
        <v>588</v>
      </c>
      <c r="C701">
        <v>20</v>
      </c>
    </row>
    <row r="702" spans="1:3" x14ac:dyDescent="0.2">
      <c r="A702" t="s">
        <v>39</v>
      </c>
      <c r="B702">
        <v>592</v>
      </c>
      <c r="C702">
        <v>16</v>
      </c>
    </row>
    <row r="703" spans="1:3" x14ac:dyDescent="0.2">
      <c r="A703" t="s">
        <v>39</v>
      </c>
      <c r="B703">
        <v>600</v>
      </c>
      <c r="C703">
        <v>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stats_DesertRegion_uav7.txt3775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2023-03-04T01:18:25Z</dcterms:created>
  <dcterms:modified xsi:type="dcterms:W3CDTF">2023-03-04T11:20:48Z</dcterms:modified>
</cp:coreProperties>
</file>