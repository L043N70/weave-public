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62FD61F0-4AEA-DF47-A725-45B9DC0A5A8E}" xr6:coauthVersionLast="47" xr6:coauthVersionMax="47" xr10:uidLastSave="{00000000-0000-0000-0000-000000000000}"/>
  <bookViews>
    <workbookView xWindow="3420" yWindow="3500" windowWidth="25380" windowHeight="12800" activeTab="1" xr2:uid="{00000000-000D-0000-FFFF-FFFF00000000}"/>
  </bookViews>
  <sheets>
    <sheet name="stats_DesertRegion_uav8.txt3781" sheetId="1" r:id="rId1"/>
    <sheet name="cell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11" i="2"/>
  <c r="B311" i="2"/>
  <c r="C208" i="2"/>
  <c r="B208" i="2"/>
  <c r="C104" i="2"/>
  <c r="B104" i="2"/>
  <c r="C415" i="2"/>
  <c r="B415" i="2"/>
  <c r="C519" i="2"/>
  <c r="B519" i="2"/>
  <c r="C623" i="2"/>
  <c r="B623" i="2"/>
  <c r="C727" i="2"/>
  <c r="B727" i="2"/>
  <c r="C831" i="2"/>
  <c r="B831" i="2"/>
  <c r="O102" i="1" l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<sst xmlns="http://schemas.openxmlformats.org/spreadsheetml/2006/main" count="1231" uniqueCount="43">
  <si>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</si>
  <si>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</si>
  <si>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</si>
  <si>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</si>
  <si>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</si>
  <si>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</si>
  <si>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</si>
  <si>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</si>
  <si>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</si>
  <si>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</si>
  <si>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</si>
  <si>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</si>
  <si>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</si>
  <si>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</si>
  <si>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</si>
  <si>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</si>
  <si>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</si>
  <si>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</si>
  <si>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</si>
  <si>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</si>
  <si>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</si>
  <si>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</si>
  <si>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</si>
  <si>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</si>
  <si>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</si>
  <si>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</si>
  <si>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</si>
  <si>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</si>
  <si>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</si>
  <si>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</si>
  <si>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</si>
  <si>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</si>
  <si>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</si>
  <si>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</si>
  <si>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UAV 2</t>
  </si>
  <si>
    <t>UAV 3</t>
  </si>
  <si>
    <t>UAV 4</t>
  </si>
  <si>
    <t>UAV 5</t>
  </si>
  <si>
    <t>UAV 6</t>
  </si>
  <si>
    <t>UAV 7</t>
  </si>
  <si>
    <t>UAV 8</t>
  </si>
  <si>
    <t>ENERGY</t>
  </si>
  <si>
    <t>MEDIA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</si>
</sst>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0" borderId="0" xfId="0" applyFont="1" applyBorder="1"/>
    <xf numFmtId="164" fontId="0" fillId="0" borderId="0" xfId="42" applyNumberFormat="1" applyFont="1" applyBorder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907DE-2F75-9946-BDE5-299FE3DDDB60}" name="Tabella1" displayName="Tabella1" ref="A1:AC102" totalsRowCount="1">
  <autoFilter ref="A1:AC101" xr:uid="{F10907DE-2F75-9946-BDE5-299FE3DDDB60}"/>
  <tableColumns count="29">
    <tableColumn id="1" xr3:uid="{E0952E4D-0485-FF4D-8B86-CEDA317588FD}" name="macro_grid_resolution"/>
    <tableColumn id="2" xr3:uid="{D2E58C32-370E-4941-9CAE-B8183E70D846}" name="micro_grid_resolution"/>
    <tableColumn id="3" xr3:uid="{4195793A-587F-0F4A-B237-E998201A8952}" name="micro_grid_dimension_cells"/>
    <tableColumn id="4" xr3:uid="{31594F72-DE5B-5F4D-A416-D19884DEC924}" name="no_fly_zone_cells"/>
    <tableColumn id="5" xr3:uid="{23B439D6-4F29-654B-9EB8-CB099D4C9ACA}" name="no_fly_zone_%_of_scenario_cells"/>
    <tableColumn id="6" xr3:uid="{455ACA1F-FCC0-0040-A0C0-C4A60DF64986}" name="roi_dimension_cells"/>
    <tableColumn id="7" xr3:uid="{DC2F1837-69AE-DA4B-A2F2-5D31A44D25EC}" name="roi_dimension_%_of_scenario_cells"/>
    <tableColumn id="8" xr3:uid="{349FF6F8-C032-6B45-B866-0F0770357CE0}" name="roads_cells"/>
    <tableColumn id="9" xr3:uid="{1D49944A-A0F7-A54B-BDC9-C9F096E5F362}" name="roads_%_of_roi_cells"/>
    <tableColumn id="10" xr3:uid="{F463794B-DC2D-9F41-AEB1-4177C21757D6}" name="starting_weather_conditions"/>
    <tableColumn id="11" xr3:uid="{FEE7D5E6-D5F8-7D4A-80A5-82367C3789F0}" name="starting_uavs_autonomy_cells"/>
    <tableColumn id="12" xr3:uid="{2AD5A222-B764-6747-A620-52943A02982A}" name="weather_forecasts"/>
    <tableColumn id="13" xr3:uid="{95D131B1-FEA5-2A44-A993-70FA5E2FC175}" name="max_number_of_uavs"/>
    <tableColumn id="14" xr3:uid="{01BA88CA-B694-144A-B132-E41F28175DE0}" name="number_of_bsss_used" totalsRowFunction="custom">
      <totalsRowFormula>AVERAGE(Tabella1[number_of_bsss_used])</totalsRowFormula>
    </tableColumn>
    <tableColumn id="15" xr3:uid="{AA466569-679D-0D48-8FFC-9A0AC3DA43C1}" name="cumulative_energy_used_by_uavs" totalsRowFunction="custom">
      <totalsRowFormula>AVERAGE(Tabella1[cumulative_energy_used_by_uavs])</totalsRowFormula>
    </tableColumn>
    <tableColumn id="16" xr3:uid="{8D989249-6357-4C46-BB2F-FD4008E2D95B}" name="cumulative_energy_wasted_by_uavs" totalsRowFunction="custom">
      <totalsRowFormula>AVERAGE(Tabella1[cumulative_energy_wasted_by_uavs])</totalsRowFormula>
    </tableColumn>
    <tableColumn id="17" xr3:uid="{D8F3C895-CF32-C142-9DE3-414516E7CE1F}" name="cumulative_number_of_batteries_used_by_uavs" totalsRowFunction="custom">
      <totalsRowFormula>AVERAGE(Tabella1[cumulative_number_of_batteries_used_by_uavs])</totalsRowFormula>
    </tableColumn>
    <tableColumn id="18" xr3:uid="{D2D403F8-2FED-8C48-B119-4EDC20020DEC}" name="mission_time_seconds" totalsRowFunction="custom">
      <totalsRowFormula>AVERAGE(Tabella1[mission_time_seconds])</totalsRowFormula>
    </tableColumn>
    <tableColumn id="19" xr3:uid="{C08DF0E4-7AFA-5040-BBE1-ACEFFF8910D7}" name="bsss_mission_time_seconds" totalsRowFunction="custom">
      <totalsRowFormula>AVERAGE(Tabella1[bsss_mission_time_seconds])</totalsRowFormula>
    </tableColumn>
    <tableColumn id="20" xr3:uid="{C5B7797A-5F08-F24D-862F-646D947577D8}" name="cumulative_swap_time_seconds" totalsRowFunction="custom">
      <totalsRowFormula>AVERAGE(Tabella1[cumulative_swap_time_seconds])</totalsRowFormula>
    </tableColumn>
    <tableColumn id="21" xr3:uid="{E76CC275-1D58-E543-9F21-08D388A5F699}" name="darp_execution_time_seconds" totalsRowFunction="custom">
      <totalsRowFormula>AVERAGE(Tabella1[darp_execution_time_seconds])</totalsRowFormula>
    </tableColumn>
    <tableColumn id="22" xr3:uid="{8F965883-5AF4-004E-95A2-51006A7CEDDE}" name="stc_execution_time_seconds" totalsRowFunction="custom">
      <totalsRowFormula>AVERAGE(Tabella1[stc_execution_time_seconds])</totalsRowFormula>
    </tableColumn>
    <tableColumn id="23" xr3:uid="{8D041F5D-A625-F34F-9CD2-3E330E22F407}" name="pp_uavs_execution_time_seconds" totalsRowFunction="custom">
      <totalsRowFormula>AVERAGE(Tabella1[pp_uavs_execution_time_seconds])</totalsRowFormula>
    </tableColumn>
    <tableColumn id="24" xr3:uid="{D28A6E5B-0055-CD4F-B36F-0ACCEB1C0964}" name="pp_bsss_execution_time_seconds" totalsRowFunction="custom">
      <totalsRowFormula>AVERAGE(Tabella1[pp_bsss_execution_time_seconds])</totalsRowFormula>
    </tableColumn>
    <tableColumn id="25" xr3:uid="{0E3C3EEA-7103-5645-8075-61732D29AE57}" name="total_execution_time_seconds"/>
    <tableColumn id="26" xr3:uid="{E0BCF32F-134B-9047-AC9F-DD94484BB544}" name="darpfailures" totalsRowFunction="custom">
      <totalsRowFormula>AVERAGE(Tabella1[darpfailures])</totalsRowFormula>
    </tableColumn>
    <tableColumn id="27" xr3:uid="{E3AF5824-C30C-3D45-9243-6EE4FDBA3800}" name="ppbssfailures" totalsRowFunction="custom">
      <totalsRowFormula>AVERAGE(Tabella1[ppbssfailures])</totalsRowFormula>
    </tableColumn>
    <tableColumn id="28" xr3:uid="{AEE612CA-3B43-9645-895C-9DDF8F6FAEFB}" name="ppuavfailures" totalsRowFunction="custom">
      <totalsRowFormula>AVERAGE(Tabella1[ppuavfailures])</totalsRowFormula>
    </tableColumn>
    <tableColumn id="29" xr3:uid="{578196C2-A12F-2543-9617-5F7253D7AF75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V99" workbookViewId="0">
      <selection activeCell="Z102" sqref="Z102:AC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1512</v>
      </c>
      <c r="I2">
        <v>35.56</v>
      </c>
      <c r="J2" t="s">
        <v>31</v>
      </c>
      <c r="K2">
        <v>600</v>
      </c>
      <c r="L2" t="s">
        <v>32</v>
      </c>
      <c r="M2">
        <v>8</v>
      </c>
      <c r="N2">
        <v>0</v>
      </c>
      <c r="O2">
        <v>4252</v>
      </c>
      <c r="P2">
        <v>0</v>
      </c>
      <c r="Q2">
        <v>8</v>
      </c>
      <c r="R2">
        <v>532</v>
      </c>
      <c r="S2">
        <v>0</v>
      </c>
      <c r="T2">
        <v>0</v>
      </c>
      <c r="U2">
        <v>0.62033700000000003</v>
      </c>
      <c r="V2">
        <v>5.1380000000000002E-2</v>
      </c>
      <c r="W2">
        <v>3.5230000000000001E-3</v>
      </c>
      <c r="X2">
        <v>9.9999999999999995E-7</v>
      </c>
      <c r="Y2">
        <v>0.67528699999999997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1512</v>
      </c>
      <c r="I3">
        <v>35.56</v>
      </c>
      <c r="J3" t="s">
        <v>31</v>
      </c>
      <c r="K3">
        <v>600</v>
      </c>
      <c r="L3" t="s">
        <v>32</v>
      </c>
      <c r="M3">
        <v>8</v>
      </c>
      <c r="N3">
        <v>0</v>
      </c>
      <c r="O3">
        <v>4252</v>
      </c>
      <c r="P3">
        <v>0</v>
      </c>
      <c r="Q3">
        <v>8</v>
      </c>
      <c r="R3">
        <v>532</v>
      </c>
      <c r="S3">
        <v>0</v>
      </c>
      <c r="T3">
        <v>0</v>
      </c>
      <c r="U3">
        <v>0.56464999999999999</v>
      </c>
      <c r="V3">
        <v>5.1433E-2</v>
      </c>
      <c r="W3">
        <v>3.617E-3</v>
      </c>
      <c r="X3">
        <v>9.9999999999999995E-7</v>
      </c>
      <c r="Y3">
        <v>0.61975100000000005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1512</v>
      </c>
      <c r="I4">
        <v>35.56</v>
      </c>
      <c r="J4" t="s">
        <v>31</v>
      </c>
      <c r="K4">
        <v>600</v>
      </c>
      <c r="L4" t="s">
        <v>32</v>
      </c>
      <c r="M4">
        <v>8</v>
      </c>
      <c r="N4">
        <v>0</v>
      </c>
      <c r="O4">
        <v>4252</v>
      </c>
      <c r="P4">
        <v>0</v>
      </c>
      <c r="Q4">
        <v>8</v>
      </c>
      <c r="R4">
        <v>532</v>
      </c>
      <c r="S4">
        <v>0</v>
      </c>
      <c r="T4">
        <v>0</v>
      </c>
      <c r="U4">
        <v>0.70060999999999996</v>
      </c>
      <c r="V4">
        <v>5.0058999999999999E-2</v>
      </c>
      <c r="W4">
        <v>3.4020000000000001E-3</v>
      </c>
      <c r="X4">
        <v>9.9999999999999995E-7</v>
      </c>
      <c r="Y4">
        <v>0.75411600000000001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1512</v>
      </c>
      <c r="I5">
        <v>35.56</v>
      </c>
      <c r="J5" t="s">
        <v>31</v>
      </c>
      <c r="K5">
        <v>600</v>
      </c>
      <c r="L5" t="s">
        <v>32</v>
      </c>
      <c r="M5">
        <v>8</v>
      </c>
      <c r="N5">
        <v>0</v>
      </c>
      <c r="O5">
        <v>4252</v>
      </c>
      <c r="P5">
        <v>0</v>
      </c>
      <c r="Q5">
        <v>8</v>
      </c>
      <c r="R5">
        <v>532</v>
      </c>
      <c r="S5">
        <v>0</v>
      </c>
      <c r="T5">
        <v>0</v>
      </c>
      <c r="U5">
        <v>0.74655000000000005</v>
      </c>
      <c r="V5">
        <v>5.1580000000000001E-2</v>
      </c>
      <c r="W5">
        <v>3.418E-3</v>
      </c>
      <c r="X5">
        <v>9.9999999999999995E-7</v>
      </c>
      <c r="Y5">
        <v>0.80159499999999995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1512</v>
      </c>
      <c r="I6">
        <v>35.56</v>
      </c>
      <c r="J6" t="s">
        <v>31</v>
      </c>
      <c r="K6">
        <v>600</v>
      </c>
      <c r="L6" t="s">
        <v>32</v>
      </c>
      <c r="M6">
        <v>8</v>
      </c>
      <c r="N6">
        <v>0</v>
      </c>
      <c r="O6">
        <v>4252</v>
      </c>
      <c r="P6">
        <v>0</v>
      </c>
      <c r="Q6">
        <v>8</v>
      </c>
      <c r="R6">
        <v>532</v>
      </c>
      <c r="S6">
        <v>0</v>
      </c>
      <c r="T6">
        <v>0</v>
      </c>
      <c r="U6">
        <v>0.59497599999999995</v>
      </c>
      <c r="V6">
        <v>5.049E-2</v>
      </c>
      <c r="W6">
        <v>3.4510000000000001E-3</v>
      </c>
      <c r="X6">
        <v>9.9999999999999995E-7</v>
      </c>
      <c r="Y6">
        <v>0.64896900000000002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1512</v>
      </c>
      <c r="I7">
        <v>35.56</v>
      </c>
      <c r="J7" t="s">
        <v>31</v>
      </c>
      <c r="K7">
        <v>600</v>
      </c>
      <c r="L7" t="s">
        <v>32</v>
      </c>
      <c r="M7">
        <v>8</v>
      </c>
      <c r="N7">
        <v>0</v>
      </c>
      <c r="O7">
        <v>4252</v>
      </c>
      <c r="P7">
        <v>0</v>
      </c>
      <c r="Q7">
        <v>8</v>
      </c>
      <c r="R7">
        <v>532</v>
      </c>
      <c r="S7">
        <v>0</v>
      </c>
      <c r="T7">
        <v>0</v>
      </c>
      <c r="U7">
        <v>0.62965499999999996</v>
      </c>
      <c r="V7">
        <v>5.0077999999999998E-2</v>
      </c>
      <c r="W7">
        <v>3.6259999999999999E-3</v>
      </c>
      <c r="X7">
        <v>9.9999999999999995E-7</v>
      </c>
      <c r="Y7">
        <v>0.68340999999999996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1512</v>
      </c>
      <c r="I8">
        <v>35.56</v>
      </c>
      <c r="J8" t="s">
        <v>31</v>
      </c>
      <c r="K8">
        <v>600</v>
      </c>
      <c r="L8" t="s">
        <v>32</v>
      </c>
      <c r="M8">
        <v>8</v>
      </c>
      <c r="N8">
        <v>0</v>
      </c>
      <c r="O8">
        <v>4252</v>
      </c>
      <c r="P8">
        <v>0</v>
      </c>
      <c r="Q8">
        <v>8</v>
      </c>
      <c r="R8">
        <v>532</v>
      </c>
      <c r="S8">
        <v>0</v>
      </c>
      <c r="T8">
        <v>0</v>
      </c>
      <c r="U8">
        <v>0.56015000000000004</v>
      </c>
      <c r="V8">
        <v>5.1645000000000003E-2</v>
      </c>
      <c r="W8">
        <v>3.63E-3</v>
      </c>
      <c r="X8">
        <v>9.9999999999999995E-7</v>
      </c>
      <c r="Y8">
        <v>0.61547399999999997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1512</v>
      </c>
      <c r="I9">
        <v>35.56</v>
      </c>
      <c r="J9" t="s">
        <v>31</v>
      </c>
      <c r="K9">
        <v>600</v>
      </c>
      <c r="L9" t="s">
        <v>32</v>
      </c>
      <c r="M9">
        <v>8</v>
      </c>
      <c r="N9">
        <v>0</v>
      </c>
      <c r="O9">
        <v>4252</v>
      </c>
      <c r="P9">
        <v>0</v>
      </c>
      <c r="Q9">
        <v>8</v>
      </c>
      <c r="R9">
        <v>532</v>
      </c>
      <c r="S9">
        <v>0</v>
      </c>
      <c r="T9">
        <v>0</v>
      </c>
      <c r="U9">
        <v>0.72755999999999998</v>
      </c>
      <c r="V9">
        <v>5.2000999999999999E-2</v>
      </c>
      <c r="W9">
        <v>3.4810000000000002E-3</v>
      </c>
      <c r="X9">
        <v>9.9999999999999995E-7</v>
      </c>
      <c r="Y9">
        <v>0.78308900000000004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1512</v>
      </c>
      <c r="I10">
        <v>35.56</v>
      </c>
      <c r="J10" t="s">
        <v>31</v>
      </c>
      <c r="K10">
        <v>600</v>
      </c>
      <c r="L10" t="s">
        <v>32</v>
      </c>
      <c r="M10">
        <v>8</v>
      </c>
      <c r="N10">
        <v>0</v>
      </c>
      <c r="O10">
        <v>4252</v>
      </c>
      <c r="P10">
        <v>0</v>
      </c>
      <c r="Q10">
        <v>8</v>
      </c>
      <c r="R10">
        <v>532</v>
      </c>
      <c r="S10">
        <v>0</v>
      </c>
      <c r="T10">
        <v>0</v>
      </c>
      <c r="U10">
        <v>0.79796199999999995</v>
      </c>
      <c r="V10">
        <v>5.1579E-2</v>
      </c>
      <c r="W10">
        <v>3.4789999999999999E-3</v>
      </c>
      <c r="X10">
        <v>9.9999999999999995E-7</v>
      </c>
      <c r="Y10">
        <v>0.85307500000000003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1512</v>
      </c>
      <c r="I11">
        <v>35.56</v>
      </c>
      <c r="J11" t="s">
        <v>31</v>
      </c>
      <c r="K11">
        <v>600</v>
      </c>
      <c r="L11" t="s">
        <v>32</v>
      </c>
      <c r="M11">
        <v>8</v>
      </c>
      <c r="N11">
        <v>0</v>
      </c>
      <c r="O11">
        <v>4252</v>
      </c>
      <c r="P11">
        <v>0</v>
      </c>
      <c r="Q11">
        <v>8</v>
      </c>
      <c r="R11">
        <v>532</v>
      </c>
      <c r="S11">
        <v>0</v>
      </c>
      <c r="T11">
        <v>0</v>
      </c>
      <c r="U11">
        <v>0.64100800000000002</v>
      </c>
      <c r="V11">
        <v>5.1228999999999997E-2</v>
      </c>
      <c r="W11">
        <v>3.4640000000000001E-3</v>
      </c>
      <c r="X11">
        <v>9.9999999999999995E-7</v>
      </c>
      <c r="Y11">
        <v>0.69574400000000003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1512</v>
      </c>
      <c r="I12">
        <v>35.56</v>
      </c>
      <c r="J12" t="s">
        <v>31</v>
      </c>
      <c r="K12">
        <v>600</v>
      </c>
      <c r="L12" t="s">
        <v>32</v>
      </c>
      <c r="M12">
        <v>8</v>
      </c>
      <c r="N12">
        <v>0</v>
      </c>
      <c r="O12">
        <v>4252</v>
      </c>
      <c r="P12">
        <v>0</v>
      </c>
      <c r="Q12">
        <v>8</v>
      </c>
      <c r="R12">
        <v>532</v>
      </c>
      <c r="S12">
        <v>0</v>
      </c>
      <c r="T12">
        <v>0</v>
      </c>
      <c r="U12">
        <v>0.55019600000000002</v>
      </c>
      <c r="V12">
        <v>5.1589999999999997E-2</v>
      </c>
      <c r="W12">
        <v>3.3809999999999999E-3</v>
      </c>
      <c r="X12">
        <v>9.9999999999999995E-7</v>
      </c>
      <c r="Y12">
        <v>0.605217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1512</v>
      </c>
      <c r="I13">
        <v>35.56</v>
      </c>
      <c r="J13" t="s">
        <v>31</v>
      </c>
      <c r="K13">
        <v>600</v>
      </c>
      <c r="L13" t="s">
        <v>32</v>
      </c>
      <c r="M13">
        <v>8</v>
      </c>
      <c r="N13">
        <v>0</v>
      </c>
      <c r="O13">
        <v>4252</v>
      </c>
      <c r="P13">
        <v>0</v>
      </c>
      <c r="Q13">
        <v>8</v>
      </c>
      <c r="R13">
        <v>532</v>
      </c>
      <c r="S13">
        <v>0</v>
      </c>
      <c r="T13">
        <v>0</v>
      </c>
      <c r="U13">
        <v>0.64454999999999996</v>
      </c>
      <c r="V13">
        <v>4.9995999999999999E-2</v>
      </c>
      <c r="W13">
        <v>3.4039999999999999E-3</v>
      </c>
      <c r="X13">
        <v>3.9999999999999998E-6</v>
      </c>
      <c r="Y13">
        <v>0.69800200000000001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1512</v>
      </c>
      <c r="I14">
        <v>35.56</v>
      </c>
      <c r="J14" t="s">
        <v>31</v>
      </c>
      <c r="K14">
        <v>600</v>
      </c>
      <c r="L14" t="s">
        <v>32</v>
      </c>
      <c r="M14">
        <v>8</v>
      </c>
      <c r="N14">
        <v>0</v>
      </c>
      <c r="O14">
        <v>4252</v>
      </c>
      <c r="P14">
        <v>0</v>
      </c>
      <c r="Q14">
        <v>8</v>
      </c>
      <c r="R14">
        <v>532</v>
      </c>
      <c r="S14">
        <v>0</v>
      </c>
      <c r="T14">
        <v>0</v>
      </c>
      <c r="U14">
        <v>0.50801600000000002</v>
      </c>
      <c r="V14">
        <v>5.0118000000000003E-2</v>
      </c>
      <c r="W14">
        <v>3.4680000000000002E-3</v>
      </c>
      <c r="X14">
        <v>9.9999999999999995E-7</v>
      </c>
      <c r="Y14">
        <v>0.56164999999999998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1512</v>
      </c>
      <c r="I15">
        <v>35.56</v>
      </c>
      <c r="J15" t="s">
        <v>31</v>
      </c>
      <c r="K15">
        <v>600</v>
      </c>
      <c r="L15" t="s">
        <v>32</v>
      </c>
      <c r="M15">
        <v>8</v>
      </c>
      <c r="N15">
        <v>0</v>
      </c>
      <c r="O15">
        <v>4252</v>
      </c>
      <c r="P15">
        <v>0</v>
      </c>
      <c r="Q15">
        <v>8</v>
      </c>
      <c r="R15">
        <v>532</v>
      </c>
      <c r="S15">
        <v>0</v>
      </c>
      <c r="T15">
        <v>0</v>
      </c>
      <c r="U15">
        <v>0.74462200000000001</v>
      </c>
      <c r="V15">
        <v>5.0147999999999998E-2</v>
      </c>
      <c r="W15">
        <v>3.4450000000000001E-3</v>
      </c>
      <c r="X15">
        <v>9.9999999999999995E-7</v>
      </c>
      <c r="Y15">
        <v>0.79826299999999994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1512</v>
      </c>
      <c r="I16">
        <v>35.56</v>
      </c>
      <c r="J16" t="s">
        <v>31</v>
      </c>
      <c r="K16">
        <v>600</v>
      </c>
      <c r="L16" t="s">
        <v>32</v>
      </c>
      <c r="M16">
        <v>8</v>
      </c>
      <c r="N16">
        <v>0</v>
      </c>
      <c r="O16">
        <v>4252</v>
      </c>
      <c r="P16">
        <v>0</v>
      </c>
      <c r="Q16">
        <v>8</v>
      </c>
      <c r="R16">
        <v>532</v>
      </c>
      <c r="S16">
        <v>0</v>
      </c>
      <c r="T16">
        <v>0</v>
      </c>
      <c r="U16">
        <v>0.54704399999999997</v>
      </c>
      <c r="V16">
        <v>5.0042999999999997E-2</v>
      </c>
      <c r="W16">
        <v>3.4190000000000002E-3</v>
      </c>
      <c r="X16">
        <v>9.9999999999999995E-7</v>
      </c>
      <c r="Y16">
        <v>0.60055499999999995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1512</v>
      </c>
      <c r="I17">
        <v>35.56</v>
      </c>
      <c r="J17" t="s">
        <v>31</v>
      </c>
      <c r="K17">
        <v>600</v>
      </c>
      <c r="L17" t="s">
        <v>32</v>
      </c>
      <c r="M17">
        <v>8</v>
      </c>
      <c r="N17">
        <v>0</v>
      </c>
      <c r="O17">
        <v>4252</v>
      </c>
      <c r="P17">
        <v>0</v>
      </c>
      <c r="Q17">
        <v>8</v>
      </c>
      <c r="R17">
        <v>532</v>
      </c>
      <c r="S17">
        <v>0</v>
      </c>
      <c r="T17">
        <v>0</v>
      </c>
      <c r="U17">
        <v>0.64468400000000003</v>
      </c>
      <c r="V17">
        <v>5.0327999999999998E-2</v>
      </c>
      <c r="W17">
        <v>3.6189999999999998E-3</v>
      </c>
      <c r="X17">
        <v>9.9999999999999995E-7</v>
      </c>
      <c r="Y17">
        <v>0.69871300000000003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1512</v>
      </c>
      <c r="I18">
        <v>35.56</v>
      </c>
      <c r="J18" t="s">
        <v>31</v>
      </c>
      <c r="K18">
        <v>600</v>
      </c>
      <c r="L18" t="s">
        <v>32</v>
      </c>
      <c r="M18">
        <v>8</v>
      </c>
      <c r="N18">
        <v>0</v>
      </c>
      <c r="O18">
        <v>4252</v>
      </c>
      <c r="P18">
        <v>0</v>
      </c>
      <c r="Q18">
        <v>8</v>
      </c>
      <c r="R18">
        <v>532</v>
      </c>
      <c r="S18">
        <v>0</v>
      </c>
      <c r="T18">
        <v>0</v>
      </c>
      <c r="U18">
        <v>0.78281299999999998</v>
      </c>
      <c r="V18">
        <v>5.0312999999999997E-2</v>
      </c>
      <c r="W18">
        <v>3.284E-3</v>
      </c>
      <c r="X18">
        <v>9.9999999999999995E-7</v>
      </c>
      <c r="Y18">
        <v>0.83645599999999998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1512</v>
      </c>
      <c r="I19">
        <v>35.56</v>
      </c>
      <c r="J19" t="s">
        <v>31</v>
      </c>
      <c r="K19">
        <v>600</v>
      </c>
      <c r="L19" t="s">
        <v>32</v>
      </c>
      <c r="M19">
        <v>8</v>
      </c>
      <c r="N19">
        <v>0</v>
      </c>
      <c r="O19">
        <v>4252</v>
      </c>
      <c r="P19">
        <v>0</v>
      </c>
      <c r="Q19">
        <v>8</v>
      </c>
      <c r="R19">
        <v>532</v>
      </c>
      <c r="S19">
        <v>0</v>
      </c>
      <c r="T19">
        <v>0</v>
      </c>
      <c r="U19">
        <v>0.49338799999999999</v>
      </c>
      <c r="V19">
        <v>5.0053E-2</v>
      </c>
      <c r="W19">
        <v>3.395E-3</v>
      </c>
      <c r="X19">
        <v>9.9999999999999995E-7</v>
      </c>
      <c r="Y19">
        <v>0.546879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1512</v>
      </c>
      <c r="I20">
        <v>35.56</v>
      </c>
      <c r="J20" t="s">
        <v>31</v>
      </c>
      <c r="K20">
        <v>600</v>
      </c>
      <c r="L20" t="s">
        <v>32</v>
      </c>
      <c r="M20">
        <v>8</v>
      </c>
      <c r="N20">
        <v>0</v>
      </c>
      <c r="O20">
        <v>4252</v>
      </c>
      <c r="P20">
        <v>0</v>
      </c>
      <c r="Q20">
        <v>8</v>
      </c>
      <c r="R20">
        <v>532</v>
      </c>
      <c r="S20">
        <v>0</v>
      </c>
      <c r="T20">
        <v>0</v>
      </c>
      <c r="U20">
        <v>0.50273000000000001</v>
      </c>
      <c r="V20">
        <v>5.1039000000000001E-2</v>
      </c>
      <c r="W20">
        <v>3.3519999999999999E-3</v>
      </c>
      <c r="X20">
        <v>9.9999999999999995E-7</v>
      </c>
      <c r="Y20">
        <v>0.55716500000000002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1512</v>
      </c>
      <c r="I21">
        <v>35.56</v>
      </c>
      <c r="J21" t="s">
        <v>31</v>
      </c>
      <c r="K21">
        <v>600</v>
      </c>
      <c r="L21" t="s">
        <v>32</v>
      </c>
      <c r="M21">
        <v>8</v>
      </c>
      <c r="N21">
        <v>0</v>
      </c>
      <c r="O21">
        <v>4252</v>
      </c>
      <c r="P21">
        <v>0</v>
      </c>
      <c r="Q21">
        <v>8</v>
      </c>
      <c r="R21">
        <v>532</v>
      </c>
      <c r="S21">
        <v>0</v>
      </c>
      <c r="T21">
        <v>0</v>
      </c>
      <c r="U21">
        <v>0.71799900000000005</v>
      </c>
      <c r="V21">
        <v>5.1499999999999997E-2</v>
      </c>
      <c r="W21">
        <v>3.447E-3</v>
      </c>
      <c r="X21">
        <v>9.9999999999999995E-7</v>
      </c>
      <c r="Y21">
        <v>0.77299099999999998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1512</v>
      </c>
      <c r="I22">
        <v>35.56</v>
      </c>
      <c r="J22" t="s">
        <v>31</v>
      </c>
      <c r="K22">
        <v>600</v>
      </c>
      <c r="L22" t="s">
        <v>32</v>
      </c>
      <c r="M22">
        <v>8</v>
      </c>
      <c r="N22">
        <v>0</v>
      </c>
      <c r="O22">
        <v>4252</v>
      </c>
      <c r="P22">
        <v>0</v>
      </c>
      <c r="Q22">
        <v>8</v>
      </c>
      <c r="R22">
        <v>532</v>
      </c>
      <c r="S22">
        <v>0</v>
      </c>
      <c r="T22">
        <v>0</v>
      </c>
      <c r="U22">
        <v>0.59658599999999995</v>
      </c>
      <c r="V22">
        <v>5.0262000000000001E-2</v>
      </c>
      <c r="W22">
        <v>3.4719999999999998E-3</v>
      </c>
      <c r="X22">
        <v>9.9999999999999995E-7</v>
      </c>
      <c r="Y22">
        <v>0.65037100000000003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1512</v>
      </c>
      <c r="I23">
        <v>35.56</v>
      </c>
      <c r="J23" t="s">
        <v>31</v>
      </c>
      <c r="K23">
        <v>600</v>
      </c>
      <c r="L23" t="s">
        <v>32</v>
      </c>
      <c r="M23">
        <v>8</v>
      </c>
      <c r="N23">
        <v>0</v>
      </c>
      <c r="O23">
        <v>4252</v>
      </c>
      <c r="P23">
        <v>0</v>
      </c>
      <c r="Q23">
        <v>8</v>
      </c>
      <c r="R23">
        <v>532</v>
      </c>
      <c r="S23">
        <v>0</v>
      </c>
      <c r="T23">
        <v>0</v>
      </c>
      <c r="U23">
        <v>0.84733499999999995</v>
      </c>
      <c r="V23">
        <v>5.1375999999999998E-2</v>
      </c>
      <c r="W23">
        <v>3.375E-3</v>
      </c>
      <c r="X23">
        <v>9.9999999999999995E-7</v>
      </c>
      <c r="Y23">
        <v>0.90213399999999999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1512</v>
      </c>
      <c r="I24">
        <v>35.56</v>
      </c>
      <c r="J24" t="s">
        <v>31</v>
      </c>
      <c r="K24">
        <v>600</v>
      </c>
      <c r="L24" t="s">
        <v>32</v>
      </c>
      <c r="M24">
        <v>8</v>
      </c>
      <c r="N24">
        <v>0</v>
      </c>
      <c r="O24">
        <v>4252</v>
      </c>
      <c r="P24">
        <v>0</v>
      </c>
      <c r="Q24">
        <v>8</v>
      </c>
      <c r="R24">
        <v>532</v>
      </c>
      <c r="S24">
        <v>0</v>
      </c>
      <c r="T24">
        <v>0</v>
      </c>
      <c r="U24">
        <v>0.64927999999999997</v>
      </c>
      <c r="V24">
        <v>5.0326000000000003E-2</v>
      </c>
      <c r="W24">
        <v>3.5330000000000001E-3</v>
      </c>
      <c r="X24">
        <v>9.9999999999999995E-7</v>
      </c>
      <c r="Y24">
        <v>0.70319299999999996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1512</v>
      </c>
      <c r="I25">
        <v>35.56</v>
      </c>
      <c r="J25" t="s">
        <v>31</v>
      </c>
      <c r="K25">
        <v>600</v>
      </c>
      <c r="L25" t="s">
        <v>32</v>
      </c>
      <c r="M25">
        <v>8</v>
      </c>
      <c r="N25">
        <v>0</v>
      </c>
      <c r="O25">
        <v>4252</v>
      </c>
      <c r="P25">
        <v>0</v>
      </c>
      <c r="Q25">
        <v>8</v>
      </c>
      <c r="R25">
        <v>532</v>
      </c>
      <c r="S25">
        <v>0</v>
      </c>
      <c r="T25">
        <v>0</v>
      </c>
      <c r="U25">
        <v>0.78287499999999999</v>
      </c>
      <c r="V25">
        <v>5.0266999999999999E-2</v>
      </c>
      <c r="W25">
        <v>3.441E-3</v>
      </c>
      <c r="X25">
        <v>9.9999999999999995E-7</v>
      </c>
      <c r="Y25">
        <v>0.83662800000000004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1512</v>
      </c>
      <c r="I26">
        <v>35.56</v>
      </c>
      <c r="J26" t="s">
        <v>31</v>
      </c>
      <c r="K26">
        <v>600</v>
      </c>
      <c r="L26" t="s">
        <v>32</v>
      </c>
      <c r="M26">
        <v>8</v>
      </c>
      <c r="N26">
        <v>0</v>
      </c>
      <c r="O26">
        <v>4252</v>
      </c>
      <c r="P26">
        <v>0</v>
      </c>
      <c r="Q26">
        <v>8</v>
      </c>
      <c r="R26">
        <v>532</v>
      </c>
      <c r="S26">
        <v>0</v>
      </c>
      <c r="T26">
        <v>0</v>
      </c>
      <c r="U26">
        <v>0.47275600000000001</v>
      </c>
      <c r="V26">
        <v>5.0136E-2</v>
      </c>
      <c r="W26">
        <v>3.5630000000000002E-3</v>
      </c>
      <c r="X26">
        <v>9.9999999999999995E-7</v>
      </c>
      <c r="Y26">
        <v>0.52650300000000005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1512</v>
      </c>
      <c r="I27">
        <v>35.56</v>
      </c>
      <c r="J27" t="s">
        <v>31</v>
      </c>
      <c r="K27">
        <v>600</v>
      </c>
      <c r="L27" t="s">
        <v>32</v>
      </c>
      <c r="M27">
        <v>8</v>
      </c>
      <c r="N27">
        <v>0</v>
      </c>
      <c r="O27">
        <v>4252</v>
      </c>
      <c r="P27">
        <v>0</v>
      </c>
      <c r="Q27">
        <v>8</v>
      </c>
      <c r="R27">
        <v>532</v>
      </c>
      <c r="S27">
        <v>0</v>
      </c>
      <c r="T27">
        <v>0</v>
      </c>
      <c r="U27">
        <v>0.569685</v>
      </c>
      <c r="V27">
        <v>5.1291000000000003E-2</v>
      </c>
      <c r="W27">
        <v>3.4160000000000002E-3</v>
      </c>
      <c r="X27">
        <v>9.9999999999999995E-7</v>
      </c>
      <c r="Y27">
        <v>0.62443700000000002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1512</v>
      </c>
      <c r="I28">
        <v>35.56</v>
      </c>
      <c r="J28" t="s">
        <v>31</v>
      </c>
      <c r="K28">
        <v>600</v>
      </c>
      <c r="L28" t="s">
        <v>32</v>
      </c>
      <c r="M28">
        <v>8</v>
      </c>
      <c r="N28">
        <v>0</v>
      </c>
      <c r="O28">
        <v>4252</v>
      </c>
      <c r="P28">
        <v>0</v>
      </c>
      <c r="Q28">
        <v>8</v>
      </c>
      <c r="R28">
        <v>532</v>
      </c>
      <c r="S28">
        <v>0</v>
      </c>
      <c r="T28">
        <v>0</v>
      </c>
      <c r="U28">
        <v>0.81228699999999998</v>
      </c>
      <c r="V28">
        <v>5.0710999999999999E-2</v>
      </c>
      <c r="W28">
        <v>3.3969999999999998E-3</v>
      </c>
      <c r="X28">
        <v>9.9999999999999995E-7</v>
      </c>
      <c r="Y28">
        <v>0.86643999999999999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1512</v>
      </c>
      <c r="I29">
        <v>35.56</v>
      </c>
      <c r="J29" t="s">
        <v>31</v>
      </c>
      <c r="K29">
        <v>600</v>
      </c>
      <c r="L29" t="s">
        <v>32</v>
      </c>
      <c r="M29">
        <v>8</v>
      </c>
      <c r="N29">
        <v>0</v>
      </c>
      <c r="O29">
        <v>4252</v>
      </c>
      <c r="P29">
        <v>0</v>
      </c>
      <c r="Q29">
        <v>8</v>
      </c>
      <c r="R29">
        <v>532</v>
      </c>
      <c r="S29">
        <v>0</v>
      </c>
      <c r="T29">
        <v>0</v>
      </c>
      <c r="U29">
        <v>0.66330299999999998</v>
      </c>
      <c r="V29">
        <v>5.1701999999999998E-2</v>
      </c>
      <c r="W29">
        <v>3.5630000000000002E-3</v>
      </c>
      <c r="X29">
        <v>9.9999999999999995E-7</v>
      </c>
      <c r="Y29">
        <v>0.71861399999999998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1512</v>
      </c>
      <c r="I30">
        <v>35.56</v>
      </c>
      <c r="J30" t="s">
        <v>31</v>
      </c>
      <c r="K30">
        <v>600</v>
      </c>
      <c r="L30" t="s">
        <v>32</v>
      </c>
      <c r="M30">
        <v>8</v>
      </c>
      <c r="N30">
        <v>0</v>
      </c>
      <c r="O30">
        <v>4252</v>
      </c>
      <c r="P30">
        <v>0</v>
      </c>
      <c r="Q30">
        <v>8</v>
      </c>
      <c r="R30">
        <v>532</v>
      </c>
      <c r="S30">
        <v>0</v>
      </c>
      <c r="T30">
        <v>0</v>
      </c>
      <c r="U30">
        <v>0.49313899999999999</v>
      </c>
      <c r="V30">
        <v>4.9961999999999999E-2</v>
      </c>
      <c r="W30">
        <v>3.617E-3</v>
      </c>
      <c r="X30">
        <v>3.9999999999999998E-6</v>
      </c>
      <c r="Y30">
        <v>0.54676800000000003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1512</v>
      </c>
      <c r="I31">
        <v>35.56</v>
      </c>
      <c r="J31" t="s">
        <v>31</v>
      </c>
      <c r="K31">
        <v>600</v>
      </c>
      <c r="L31" t="s">
        <v>32</v>
      </c>
      <c r="M31">
        <v>8</v>
      </c>
      <c r="N31">
        <v>0</v>
      </c>
      <c r="O31">
        <v>4252</v>
      </c>
      <c r="P31">
        <v>0</v>
      </c>
      <c r="Q31">
        <v>8</v>
      </c>
      <c r="R31">
        <v>532</v>
      </c>
      <c r="S31">
        <v>0</v>
      </c>
      <c r="T31">
        <v>0</v>
      </c>
      <c r="U31">
        <v>0.55881899999999995</v>
      </c>
      <c r="V31">
        <v>5.1177E-2</v>
      </c>
      <c r="W31">
        <v>3.617E-3</v>
      </c>
      <c r="X31">
        <v>9.9999999999999995E-7</v>
      </c>
      <c r="Y31">
        <v>0.61366200000000004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1512</v>
      </c>
      <c r="I32">
        <v>35.56</v>
      </c>
      <c r="J32" t="s">
        <v>31</v>
      </c>
      <c r="K32">
        <v>600</v>
      </c>
      <c r="L32" t="s">
        <v>32</v>
      </c>
      <c r="M32">
        <v>8</v>
      </c>
      <c r="N32">
        <v>0</v>
      </c>
      <c r="O32">
        <v>4252</v>
      </c>
      <c r="P32">
        <v>0</v>
      </c>
      <c r="Q32">
        <v>8</v>
      </c>
      <c r="R32">
        <v>532</v>
      </c>
      <c r="S32">
        <v>0</v>
      </c>
      <c r="T32">
        <v>0</v>
      </c>
      <c r="U32">
        <v>0.59943500000000005</v>
      </c>
      <c r="V32">
        <v>5.0384999999999999E-2</v>
      </c>
      <c r="W32">
        <v>3.3960000000000001E-3</v>
      </c>
      <c r="X32">
        <v>9.9999999999999995E-7</v>
      </c>
      <c r="Y32">
        <v>0.65326499999999998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1512</v>
      </c>
      <c r="I33">
        <v>35.56</v>
      </c>
      <c r="J33" t="s">
        <v>31</v>
      </c>
      <c r="K33">
        <v>600</v>
      </c>
      <c r="L33" t="s">
        <v>32</v>
      </c>
      <c r="M33">
        <v>8</v>
      </c>
      <c r="N33">
        <v>0</v>
      </c>
      <c r="O33">
        <v>4252</v>
      </c>
      <c r="P33">
        <v>0</v>
      </c>
      <c r="Q33">
        <v>8</v>
      </c>
      <c r="R33">
        <v>532</v>
      </c>
      <c r="S33">
        <v>0</v>
      </c>
      <c r="T33">
        <v>0</v>
      </c>
      <c r="U33">
        <v>0.61083399999999999</v>
      </c>
      <c r="V33">
        <v>4.9911999999999998E-2</v>
      </c>
      <c r="W33">
        <v>3.3570000000000002E-3</v>
      </c>
      <c r="X33">
        <v>9.9999999999999995E-7</v>
      </c>
      <c r="Y33">
        <v>0.66415299999999999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1512</v>
      </c>
      <c r="I34">
        <v>35.56</v>
      </c>
      <c r="J34" t="s">
        <v>31</v>
      </c>
      <c r="K34">
        <v>600</v>
      </c>
      <c r="L34" t="s">
        <v>32</v>
      </c>
      <c r="M34">
        <v>8</v>
      </c>
      <c r="N34">
        <v>0</v>
      </c>
      <c r="O34">
        <v>4252</v>
      </c>
      <c r="P34">
        <v>0</v>
      </c>
      <c r="Q34">
        <v>8</v>
      </c>
      <c r="R34">
        <v>532</v>
      </c>
      <c r="S34">
        <v>0</v>
      </c>
      <c r="T34">
        <v>0</v>
      </c>
      <c r="U34">
        <v>0.56049099999999996</v>
      </c>
      <c r="V34">
        <v>5.1222999999999998E-2</v>
      </c>
      <c r="W34">
        <v>3.3839999999999999E-3</v>
      </c>
      <c r="X34">
        <v>9.9999999999999995E-7</v>
      </c>
      <c r="Y34">
        <v>0.61514199999999997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1512</v>
      </c>
      <c r="I35">
        <v>35.56</v>
      </c>
      <c r="J35" t="s">
        <v>31</v>
      </c>
      <c r="K35">
        <v>600</v>
      </c>
      <c r="L35" t="s">
        <v>32</v>
      </c>
      <c r="M35">
        <v>8</v>
      </c>
      <c r="N35">
        <v>0</v>
      </c>
      <c r="O35">
        <v>4252</v>
      </c>
      <c r="P35">
        <v>0</v>
      </c>
      <c r="Q35">
        <v>8</v>
      </c>
      <c r="R35">
        <v>532</v>
      </c>
      <c r="S35">
        <v>0</v>
      </c>
      <c r="T35">
        <v>0</v>
      </c>
      <c r="U35">
        <v>0.56651399999999996</v>
      </c>
      <c r="V35">
        <v>5.1679000000000003E-2</v>
      </c>
      <c r="W35">
        <v>3.4550000000000002E-3</v>
      </c>
      <c r="X35">
        <v>9.9999999999999995E-7</v>
      </c>
      <c r="Y35">
        <v>0.62169600000000003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1512</v>
      </c>
      <c r="I36">
        <v>35.56</v>
      </c>
      <c r="J36" t="s">
        <v>31</v>
      </c>
      <c r="K36">
        <v>600</v>
      </c>
      <c r="L36" t="s">
        <v>32</v>
      </c>
      <c r="M36">
        <v>8</v>
      </c>
      <c r="N36">
        <v>0</v>
      </c>
      <c r="O36">
        <v>4252</v>
      </c>
      <c r="P36">
        <v>0</v>
      </c>
      <c r="Q36">
        <v>8</v>
      </c>
      <c r="R36">
        <v>532</v>
      </c>
      <c r="S36">
        <v>0</v>
      </c>
      <c r="T36">
        <v>0</v>
      </c>
      <c r="U36">
        <v>0.61425300000000005</v>
      </c>
      <c r="V36">
        <v>4.9966000000000003E-2</v>
      </c>
      <c r="W36">
        <v>3.62E-3</v>
      </c>
      <c r="X36">
        <v>9.9999999999999995E-7</v>
      </c>
      <c r="Y36">
        <v>0.66788800000000004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1512</v>
      </c>
      <c r="I37">
        <v>35.56</v>
      </c>
      <c r="J37" t="s">
        <v>31</v>
      </c>
      <c r="K37">
        <v>600</v>
      </c>
      <c r="L37" t="s">
        <v>32</v>
      </c>
      <c r="M37">
        <v>8</v>
      </c>
      <c r="N37">
        <v>0</v>
      </c>
      <c r="O37">
        <v>4252</v>
      </c>
      <c r="P37">
        <v>0</v>
      </c>
      <c r="Q37">
        <v>8</v>
      </c>
      <c r="R37">
        <v>532</v>
      </c>
      <c r="S37">
        <v>0</v>
      </c>
      <c r="T37">
        <v>0</v>
      </c>
      <c r="U37">
        <v>0.68812300000000004</v>
      </c>
      <c r="V37">
        <v>4.9801999999999999E-2</v>
      </c>
      <c r="W37">
        <v>3.3300000000000001E-3</v>
      </c>
      <c r="X37">
        <v>9.9999999999999995E-7</v>
      </c>
      <c r="Y37">
        <v>0.74130099999999999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1512</v>
      </c>
      <c r="I38">
        <v>35.56</v>
      </c>
      <c r="J38" t="s">
        <v>31</v>
      </c>
      <c r="K38">
        <v>600</v>
      </c>
      <c r="L38" t="s">
        <v>32</v>
      </c>
      <c r="M38">
        <v>8</v>
      </c>
      <c r="N38">
        <v>0</v>
      </c>
      <c r="O38">
        <v>4252</v>
      </c>
      <c r="P38">
        <v>0</v>
      </c>
      <c r="Q38">
        <v>8</v>
      </c>
      <c r="R38">
        <v>532</v>
      </c>
      <c r="S38">
        <v>0</v>
      </c>
      <c r="T38">
        <v>0</v>
      </c>
      <c r="U38">
        <v>0.58188499999999999</v>
      </c>
      <c r="V38">
        <v>4.9964000000000001E-2</v>
      </c>
      <c r="W38">
        <v>4.7190000000000001E-3</v>
      </c>
      <c r="X38">
        <v>3.9999999999999998E-6</v>
      </c>
      <c r="Y38">
        <v>0.63663700000000001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1512</v>
      </c>
      <c r="I39">
        <v>35.56</v>
      </c>
      <c r="J39" t="s">
        <v>31</v>
      </c>
      <c r="K39">
        <v>600</v>
      </c>
      <c r="L39" t="s">
        <v>32</v>
      </c>
      <c r="M39">
        <v>8</v>
      </c>
      <c r="N39">
        <v>0</v>
      </c>
      <c r="O39">
        <v>4252</v>
      </c>
      <c r="P39">
        <v>0</v>
      </c>
      <c r="Q39">
        <v>8</v>
      </c>
      <c r="R39">
        <v>532</v>
      </c>
      <c r="S39">
        <v>0</v>
      </c>
      <c r="T39">
        <v>0</v>
      </c>
      <c r="U39">
        <v>0.68796299999999999</v>
      </c>
      <c r="V39">
        <v>5.0256000000000002E-2</v>
      </c>
      <c r="W39">
        <v>3.3760000000000001E-3</v>
      </c>
      <c r="X39">
        <v>9.9999999999999995E-7</v>
      </c>
      <c r="Y39">
        <v>0.74164200000000002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1512</v>
      </c>
      <c r="I40">
        <v>35.56</v>
      </c>
      <c r="J40" t="s">
        <v>31</v>
      </c>
      <c r="K40">
        <v>600</v>
      </c>
      <c r="L40" t="s">
        <v>32</v>
      </c>
      <c r="M40">
        <v>8</v>
      </c>
      <c r="N40">
        <v>0</v>
      </c>
      <c r="O40">
        <v>4252</v>
      </c>
      <c r="P40">
        <v>0</v>
      </c>
      <c r="Q40">
        <v>8</v>
      </c>
      <c r="R40">
        <v>532</v>
      </c>
      <c r="S40">
        <v>0</v>
      </c>
      <c r="T40">
        <v>0</v>
      </c>
      <c r="U40">
        <v>0.61623700000000003</v>
      </c>
      <c r="V40">
        <v>5.1452999999999999E-2</v>
      </c>
      <c r="W40">
        <v>3.552E-3</v>
      </c>
      <c r="X40">
        <v>3.9999999999999998E-6</v>
      </c>
      <c r="Y40">
        <v>0.67129300000000003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1512</v>
      </c>
      <c r="I41">
        <v>35.56</v>
      </c>
      <c r="J41" t="s">
        <v>31</v>
      </c>
      <c r="K41">
        <v>600</v>
      </c>
      <c r="L41" t="s">
        <v>32</v>
      </c>
      <c r="M41">
        <v>8</v>
      </c>
      <c r="N41">
        <v>0</v>
      </c>
      <c r="O41">
        <v>4252</v>
      </c>
      <c r="P41">
        <v>0</v>
      </c>
      <c r="Q41">
        <v>8</v>
      </c>
      <c r="R41">
        <v>532</v>
      </c>
      <c r="S41">
        <v>0</v>
      </c>
      <c r="T41">
        <v>0</v>
      </c>
      <c r="U41">
        <v>0.631212</v>
      </c>
      <c r="V41">
        <v>5.0464000000000002E-2</v>
      </c>
      <c r="W41">
        <v>3.375E-3</v>
      </c>
      <c r="X41">
        <v>9.9999999999999995E-7</v>
      </c>
      <c r="Y41">
        <v>0.68509900000000001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1512</v>
      </c>
      <c r="I42">
        <v>35.56</v>
      </c>
      <c r="J42" t="s">
        <v>31</v>
      </c>
      <c r="K42">
        <v>600</v>
      </c>
      <c r="L42" t="s">
        <v>32</v>
      </c>
      <c r="M42">
        <v>8</v>
      </c>
      <c r="N42">
        <v>0</v>
      </c>
      <c r="O42">
        <v>4252</v>
      </c>
      <c r="P42">
        <v>0</v>
      </c>
      <c r="Q42">
        <v>8</v>
      </c>
      <c r="R42">
        <v>532</v>
      </c>
      <c r="S42">
        <v>0</v>
      </c>
      <c r="T42">
        <v>0</v>
      </c>
      <c r="U42">
        <v>0.62973800000000002</v>
      </c>
      <c r="V42">
        <v>5.1188999999999998E-2</v>
      </c>
      <c r="W42">
        <v>3.3939999999999999E-3</v>
      </c>
      <c r="X42">
        <v>9.9999999999999995E-7</v>
      </c>
      <c r="Y42">
        <v>0.68436300000000005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1512</v>
      </c>
      <c r="I43">
        <v>35.56</v>
      </c>
      <c r="J43" t="s">
        <v>31</v>
      </c>
      <c r="K43">
        <v>600</v>
      </c>
      <c r="L43" t="s">
        <v>32</v>
      </c>
      <c r="M43">
        <v>8</v>
      </c>
      <c r="N43">
        <v>0</v>
      </c>
      <c r="O43">
        <v>4252</v>
      </c>
      <c r="P43">
        <v>0</v>
      </c>
      <c r="Q43">
        <v>8</v>
      </c>
      <c r="R43">
        <v>532</v>
      </c>
      <c r="S43">
        <v>0</v>
      </c>
      <c r="T43">
        <v>0</v>
      </c>
      <c r="U43">
        <v>0.68417399999999995</v>
      </c>
      <c r="V43">
        <v>5.1499999999999997E-2</v>
      </c>
      <c r="W43">
        <v>3.6110000000000001E-3</v>
      </c>
      <c r="X43">
        <v>9.9999999999999995E-7</v>
      </c>
      <c r="Y43">
        <v>0.73933800000000005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1512</v>
      </c>
      <c r="I44">
        <v>35.56</v>
      </c>
      <c r="J44" t="s">
        <v>31</v>
      </c>
      <c r="K44">
        <v>600</v>
      </c>
      <c r="L44" t="s">
        <v>32</v>
      </c>
      <c r="M44">
        <v>8</v>
      </c>
      <c r="N44">
        <v>0</v>
      </c>
      <c r="O44">
        <v>4252</v>
      </c>
      <c r="P44">
        <v>0</v>
      </c>
      <c r="Q44">
        <v>8</v>
      </c>
      <c r="R44">
        <v>532</v>
      </c>
      <c r="S44">
        <v>0</v>
      </c>
      <c r="T44">
        <v>0</v>
      </c>
      <c r="U44">
        <v>0.78904399999999997</v>
      </c>
      <c r="V44">
        <v>5.1320999999999999E-2</v>
      </c>
      <c r="W44">
        <v>3.356E-3</v>
      </c>
      <c r="X44">
        <v>9.9999999999999995E-7</v>
      </c>
      <c r="Y44">
        <v>0.84377000000000002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1512</v>
      </c>
      <c r="I45">
        <v>35.56</v>
      </c>
      <c r="J45" t="s">
        <v>31</v>
      </c>
      <c r="K45">
        <v>600</v>
      </c>
      <c r="L45" t="s">
        <v>32</v>
      </c>
      <c r="M45">
        <v>8</v>
      </c>
      <c r="N45">
        <v>0</v>
      </c>
      <c r="O45">
        <v>4252</v>
      </c>
      <c r="P45">
        <v>0</v>
      </c>
      <c r="Q45">
        <v>8</v>
      </c>
      <c r="R45">
        <v>532</v>
      </c>
      <c r="S45">
        <v>0</v>
      </c>
      <c r="T45">
        <v>0</v>
      </c>
      <c r="U45">
        <v>0.61299300000000001</v>
      </c>
      <c r="V45">
        <v>5.0264000000000003E-2</v>
      </c>
      <c r="W45">
        <v>3.398E-3</v>
      </c>
      <c r="X45">
        <v>9.9999999999999995E-7</v>
      </c>
      <c r="Y45">
        <v>0.66670399999999996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1512</v>
      </c>
      <c r="I46">
        <v>35.56</v>
      </c>
      <c r="J46" t="s">
        <v>31</v>
      </c>
      <c r="K46">
        <v>600</v>
      </c>
      <c r="L46" t="s">
        <v>32</v>
      </c>
      <c r="M46">
        <v>8</v>
      </c>
      <c r="N46">
        <v>0</v>
      </c>
      <c r="O46">
        <v>4252</v>
      </c>
      <c r="P46">
        <v>0</v>
      </c>
      <c r="Q46">
        <v>8</v>
      </c>
      <c r="R46">
        <v>532</v>
      </c>
      <c r="S46">
        <v>0</v>
      </c>
      <c r="T46">
        <v>0</v>
      </c>
      <c r="U46">
        <v>0.82316599999999995</v>
      </c>
      <c r="V46">
        <v>5.1402999999999997E-2</v>
      </c>
      <c r="W46">
        <v>3.4039999999999999E-3</v>
      </c>
      <c r="X46">
        <v>9.9999999999999995E-7</v>
      </c>
      <c r="Y46">
        <v>0.87801899999999999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1512</v>
      </c>
      <c r="I47">
        <v>35.56</v>
      </c>
      <c r="J47" t="s">
        <v>31</v>
      </c>
      <c r="K47">
        <v>600</v>
      </c>
      <c r="L47" t="s">
        <v>32</v>
      </c>
      <c r="M47">
        <v>8</v>
      </c>
      <c r="N47">
        <v>0</v>
      </c>
      <c r="O47">
        <v>4252</v>
      </c>
      <c r="P47">
        <v>0</v>
      </c>
      <c r="Q47">
        <v>8</v>
      </c>
      <c r="R47">
        <v>532</v>
      </c>
      <c r="S47">
        <v>0</v>
      </c>
      <c r="T47">
        <v>0</v>
      </c>
      <c r="U47">
        <v>0.50052399999999997</v>
      </c>
      <c r="V47">
        <v>5.1386000000000001E-2</v>
      </c>
      <c r="W47">
        <v>3.3869999999999998E-3</v>
      </c>
      <c r="X47">
        <v>9.9999999999999995E-7</v>
      </c>
      <c r="Y47">
        <v>0.55534399999999995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1512</v>
      </c>
      <c r="I48">
        <v>35.56</v>
      </c>
      <c r="J48" t="s">
        <v>31</v>
      </c>
      <c r="K48">
        <v>600</v>
      </c>
      <c r="L48" t="s">
        <v>32</v>
      </c>
      <c r="M48">
        <v>8</v>
      </c>
      <c r="N48">
        <v>0</v>
      </c>
      <c r="O48">
        <v>4252</v>
      </c>
      <c r="P48">
        <v>0</v>
      </c>
      <c r="Q48">
        <v>8</v>
      </c>
      <c r="R48">
        <v>532</v>
      </c>
      <c r="S48">
        <v>0</v>
      </c>
      <c r="T48">
        <v>0</v>
      </c>
      <c r="U48">
        <v>0.52847</v>
      </c>
      <c r="V48">
        <v>5.1212000000000001E-2</v>
      </c>
      <c r="W48">
        <v>3.3630000000000001E-3</v>
      </c>
      <c r="X48">
        <v>9.9999999999999995E-7</v>
      </c>
      <c r="Y48">
        <v>0.58308899999999997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1512</v>
      </c>
      <c r="I49">
        <v>35.56</v>
      </c>
      <c r="J49" t="s">
        <v>31</v>
      </c>
      <c r="K49">
        <v>600</v>
      </c>
      <c r="L49" t="s">
        <v>32</v>
      </c>
      <c r="M49">
        <v>8</v>
      </c>
      <c r="N49">
        <v>0</v>
      </c>
      <c r="O49">
        <v>4252</v>
      </c>
      <c r="P49">
        <v>0</v>
      </c>
      <c r="Q49">
        <v>8</v>
      </c>
      <c r="R49">
        <v>532</v>
      </c>
      <c r="S49">
        <v>0</v>
      </c>
      <c r="T49">
        <v>0</v>
      </c>
      <c r="U49">
        <v>0.81362999999999996</v>
      </c>
      <c r="V49">
        <v>5.0430000000000003E-2</v>
      </c>
      <c r="W49">
        <v>3.408E-3</v>
      </c>
      <c r="X49">
        <v>9.9999999999999995E-7</v>
      </c>
      <c r="Y49">
        <v>0.86752099999999999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1512</v>
      </c>
      <c r="I50">
        <v>35.56</v>
      </c>
      <c r="J50" t="s">
        <v>31</v>
      </c>
      <c r="K50">
        <v>600</v>
      </c>
      <c r="L50" t="s">
        <v>32</v>
      </c>
      <c r="M50">
        <v>8</v>
      </c>
      <c r="N50">
        <v>0</v>
      </c>
      <c r="O50">
        <v>4252</v>
      </c>
      <c r="P50">
        <v>0</v>
      </c>
      <c r="Q50">
        <v>8</v>
      </c>
      <c r="R50">
        <v>532</v>
      </c>
      <c r="S50">
        <v>0</v>
      </c>
      <c r="T50">
        <v>0</v>
      </c>
      <c r="U50">
        <v>0.58665299999999998</v>
      </c>
      <c r="V50">
        <v>5.0235000000000002E-2</v>
      </c>
      <c r="W50">
        <v>3.5790000000000001E-3</v>
      </c>
      <c r="X50">
        <v>3.9999999999999998E-6</v>
      </c>
      <c r="Y50">
        <v>0.64052799999999999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1512</v>
      </c>
      <c r="I51">
        <v>35.56</v>
      </c>
      <c r="J51" t="s">
        <v>31</v>
      </c>
      <c r="K51">
        <v>600</v>
      </c>
      <c r="L51" t="s">
        <v>32</v>
      </c>
      <c r="M51">
        <v>8</v>
      </c>
      <c r="N51">
        <v>0</v>
      </c>
      <c r="O51">
        <v>4252</v>
      </c>
      <c r="P51">
        <v>0</v>
      </c>
      <c r="Q51">
        <v>8</v>
      </c>
      <c r="R51">
        <v>532</v>
      </c>
      <c r="S51">
        <v>0</v>
      </c>
      <c r="T51">
        <v>0</v>
      </c>
      <c r="U51">
        <v>0.79920400000000003</v>
      </c>
      <c r="V51">
        <v>5.1444999999999998E-2</v>
      </c>
      <c r="W51">
        <v>3.4060000000000002E-3</v>
      </c>
      <c r="X51">
        <v>9.9999999999999995E-7</v>
      </c>
      <c r="Y51">
        <v>0.85410299999999995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1512</v>
      </c>
      <c r="I52">
        <v>35.56</v>
      </c>
      <c r="J52" t="s">
        <v>31</v>
      </c>
      <c r="K52">
        <v>600</v>
      </c>
      <c r="L52" t="s">
        <v>32</v>
      </c>
      <c r="M52">
        <v>8</v>
      </c>
      <c r="N52">
        <v>0</v>
      </c>
      <c r="O52">
        <v>4252</v>
      </c>
      <c r="P52">
        <v>0</v>
      </c>
      <c r="Q52">
        <v>8</v>
      </c>
      <c r="R52">
        <v>532</v>
      </c>
      <c r="S52">
        <v>0</v>
      </c>
      <c r="T52">
        <v>0</v>
      </c>
      <c r="U52">
        <v>0.64361900000000005</v>
      </c>
      <c r="V52">
        <v>5.0256000000000002E-2</v>
      </c>
      <c r="W52">
        <v>3.3800000000000002E-3</v>
      </c>
      <c r="X52">
        <v>9.9999999999999995E-7</v>
      </c>
      <c r="Y52">
        <v>0.69729799999999997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1512</v>
      </c>
      <c r="I53">
        <v>35.56</v>
      </c>
      <c r="J53" t="s">
        <v>31</v>
      </c>
      <c r="K53">
        <v>600</v>
      </c>
      <c r="L53" t="s">
        <v>32</v>
      </c>
      <c r="M53">
        <v>8</v>
      </c>
      <c r="N53">
        <v>0</v>
      </c>
      <c r="O53">
        <v>4252</v>
      </c>
      <c r="P53">
        <v>0</v>
      </c>
      <c r="Q53">
        <v>8</v>
      </c>
      <c r="R53">
        <v>532</v>
      </c>
      <c r="S53">
        <v>0</v>
      </c>
      <c r="T53">
        <v>0</v>
      </c>
      <c r="U53">
        <v>0.69837199999999999</v>
      </c>
      <c r="V53">
        <v>5.0678000000000001E-2</v>
      </c>
      <c r="W53">
        <v>3.4680000000000002E-3</v>
      </c>
      <c r="X53">
        <v>9.9999999999999995E-7</v>
      </c>
      <c r="Y53">
        <v>0.75256800000000001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1512</v>
      </c>
      <c r="I54">
        <v>35.56</v>
      </c>
      <c r="J54" t="s">
        <v>31</v>
      </c>
      <c r="K54">
        <v>600</v>
      </c>
      <c r="L54" t="s">
        <v>32</v>
      </c>
      <c r="M54">
        <v>8</v>
      </c>
      <c r="N54">
        <v>0</v>
      </c>
      <c r="O54">
        <v>4252</v>
      </c>
      <c r="P54">
        <v>0</v>
      </c>
      <c r="Q54">
        <v>8</v>
      </c>
      <c r="R54">
        <v>532</v>
      </c>
      <c r="S54">
        <v>0</v>
      </c>
      <c r="T54">
        <v>0</v>
      </c>
      <c r="U54">
        <v>0.71288399999999996</v>
      </c>
      <c r="V54">
        <v>5.0115E-2</v>
      </c>
      <c r="W54">
        <v>3.457E-3</v>
      </c>
      <c r="X54">
        <v>3.9999999999999998E-6</v>
      </c>
      <c r="Y54">
        <v>0.76650799999999997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1512</v>
      </c>
      <c r="I55">
        <v>35.56</v>
      </c>
      <c r="J55" t="s">
        <v>31</v>
      </c>
      <c r="K55">
        <v>600</v>
      </c>
      <c r="L55" t="s">
        <v>32</v>
      </c>
      <c r="M55">
        <v>8</v>
      </c>
      <c r="N55">
        <v>0</v>
      </c>
      <c r="O55">
        <v>4252</v>
      </c>
      <c r="P55">
        <v>0</v>
      </c>
      <c r="Q55">
        <v>8</v>
      </c>
      <c r="R55">
        <v>532</v>
      </c>
      <c r="S55">
        <v>0</v>
      </c>
      <c r="T55">
        <v>0</v>
      </c>
      <c r="U55">
        <v>0.53719399999999995</v>
      </c>
      <c r="V55">
        <v>5.0191E-2</v>
      </c>
      <c r="W55">
        <v>3.4020000000000001E-3</v>
      </c>
      <c r="X55">
        <v>9.9999999999999995E-7</v>
      </c>
      <c r="Y55">
        <v>0.590831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1512</v>
      </c>
      <c r="I56">
        <v>35.56</v>
      </c>
      <c r="J56" t="s">
        <v>31</v>
      </c>
      <c r="K56">
        <v>600</v>
      </c>
      <c r="L56" t="s">
        <v>32</v>
      </c>
      <c r="M56">
        <v>8</v>
      </c>
      <c r="N56">
        <v>0</v>
      </c>
      <c r="O56">
        <v>4252</v>
      </c>
      <c r="P56">
        <v>0</v>
      </c>
      <c r="Q56">
        <v>8</v>
      </c>
      <c r="R56">
        <v>532</v>
      </c>
      <c r="S56">
        <v>0</v>
      </c>
      <c r="T56">
        <v>0</v>
      </c>
      <c r="U56">
        <v>0.84411499999999995</v>
      </c>
      <c r="V56">
        <v>5.1361999999999998E-2</v>
      </c>
      <c r="W56">
        <v>3.4060000000000002E-3</v>
      </c>
      <c r="X56">
        <v>9.9999999999999995E-7</v>
      </c>
      <c r="Y56">
        <v>0.89892899999999998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1512</v>
      </c>
      <c r="I57">
        <v>35.56</v>
      </c>
      <c r="J57" t="s">
        <v>31</v>
      </c>
      <c r="K57">
        <v>600</v>
      </c>
      <c r="L57" t="s">
        <v>32</v>
      </c>
      <c r="M57">
        <v>8</v>
      </c>
      <c r="N57">
        <v>0</v>
      </c>
      <c r="O57">
        <v>4252</v>
      </c>
      <c r="P57">
        <v>0</v>
      </c>
      <c r="Q57">
        <v>8</v>
      </c>
      <c r="R57">
        <v>532</v>
      </c>
      <c r="S57">
        <v>0</v>
      </c>
      <c r="T57">
        <v>0</v>
      </c>
      <c r="U57">
        <v>0.65982099999999999</v>
      </c>
      <c r="V57">
        <v>5.1032000000000001E-2</v>
      </c>
      <c r="W57">
        <v>3.4199999999999999E-3</v>
      </c>
      <c r="X57">
        <v>9.9999999999999995E-7</v>
      </c>
      <c r="Y57">
        <v>0.71431699999999998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1512</v>
      </c>
      <c r="I58">
        <v>35.56</v>
      </c>
      <c r="J58" t="s">
        <v>31</v>
      </c>
      <c r="K58">
        <v>600</v>
      </c>
      <c r="L58" t="s">
        <v>32</v>
      </c>
      <c r="M58">
        <v>8</v>
      </c>
      <c r="N58">
        <v>0</v>
      </c>
      <c r="O58">
        <v>4252</v>
      </c>
      <c r="P58">
        <v>0</v>
      </c>
      <c r="Q58">
        <v>8</v>
      </c>
      <c r="R58">
        <v>532</v>
      </c>
      <c r="S58">
        <v>0</v>
      </c>
      <c r="T58">
        <v>0</v>
      </c>
      <c r="U58">
        <v>0.79085899999999998</v>
      </c>
      <c r="V58">
        <v>5.1241000000000002E-2</v>
      </c>
      <c r="W58">
        <v>3.398E-3</v>
      </c>
      <c r="X58">
        <v>9.9999999999999995E-7</v>
      </c>
      <c r="Y58">
        <v>0.84554099999999999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1512</v>
      </c>
      <c r="I59">
        <v>35.56</v>
      </c>
      <c r="J59" t="s">
        <v>31</v>
      </c>
      <c r="K59">
        <v>600</v>
      </c>
      <c r="L59" t="s">
        <v>32</v>
      </c>
      <c r="M59">
        <v>8</v>
      </c>
      <c r="N59">
        <v>0</v>
      </c>
      <c r="O59">
        <v>4252</v>
      </c>
      <c r="P59">
        <v>0</v>
      </c>
      <c r="Q59">
        <v>8</v>
      </c>
      <c r="R59">
        <v>532</v>
      </c>
      <c r="S59">
        <v>0</v>
      </c>
      <c r="T59">
        <v>0</v>
      </c>
      <c r="U59">
        <v>0.649393</v>
      </c>
      <c r="V59">
        <v>5.0244999999999998E-2</v>
      </c>
      <c r="W59">
        <v>3.339E-3</v>
      </c>
      <c r="X59">
        <v>9.9999999999999995E-7</v>
      </c>
      <c r="Y59">
        <v>0.70302799999999999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1512</v>
      </c>
      <c r="I60">
        <v>35.56</v>
      </c>
      <c r="J60" t="s">
        <v>31</v>
      </c>
      <c r="K60">
        <v>600</v>
      </c>
      <c r="L60" t="s">
        <v>32</v>
      </c>
      <c r="M60">
        <v>8</v>
      </c>
      <c r="N60">
        <v>0</v>
      </c>
      <c r="O60">
        <v>4252</v>
      </c>
      <c r="P60">
        <v>0</v>
      </c>
      <c r="Q60">
        <v>8</v>
      </c>
      <c r="R60">
        <v>532</v>
      </c>
      <c r="S60">
        <v>0</v>
      </c>
      <c r="T60">
        <v>0</v>
      </c>
      <c r="U60">
        <v>0.64522000000000002</v>
      </c>
      <c r="V60">
        <v>5.0633999999999998E-2</v>
      </c>
      <c r="W60">
        <v>3.395E-3</v>
      </c>
      <c r="X60">
        <v>9.9999999999999995E-7</v>
      </c>
      <c r="Y60">
        <v>0.69929399999999997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1512</v>
      </c>
      <c r="I61">
        <v>35.56</v>
      </c>
      <c r="J61" t="s">
        <v>31</v>
      </c>
      <c r="K61">
        <v>600</v>
      </c>
      <c r="L61" t="s">
        <v>32</v>
      </c>
      <c r="M61">
        <v>8</v>
      </c>
      <c r="N61">
        <v>0</v>
      </c>
      <c r="O61">
        <v>4252</v>
      </c>
      <c r="P61">
        <v>0</v>
      </c>
      <c r="Q61">
        <v>8</v>
      </c>
      <c r="R61">
        <v>532</v>
      </c>
      <c r="S61">
        <v>0</v>
      </c>
      <c r="T61">
        <v>0</v>
      </c>
      <c r="U61">
        <v>0.84545999999999999</v>
      </c>
      <c r="V61">
        <v>5.1663000000000001E-2</v>
      </c>
      <c r="W61">
        <v>3.4759999999999999E-3</v>
      </c>
      <c r="X61">
        <v>9.9999999999999995E-7</v>
      </c>
      <c r="Y61">
        <v>0.90064599999999995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1512</v>
      </c>
      <c r="I62">
        <v>35.56</v>
      </c>
      <c r="J62" t="s">
        <v>31</v>
      </c>
      <c r="K62">
        <v>600</v>
      </c>
      <c r="L62" t="s">
        <v>32</v>
      </c>
      <c r="M62">
        <v>8</v>
      </c>
      <c r="N62">
        <v>0</v>
      </c>
      <c r="O62">
        <v>4252</v>
      </c>
      <c r="P62">
        <v>0</v>
      </c>
      <c r="Q62">
        <v>8</v>
      </c>
      <c r="R62">
        <v>532</v>
      </c>
      <c r="S62">
        <v>0</v>
      </c>
      <c r="T62">
        <v>0</v>
      </c>
      <c r="U62">
        <v>0.58592</v>
      </c>
      <c r="V62">
        <v>5.1254000000000001E-2</v>
      </c>
      <c r="W62">
        <v>3.4450000000000001E-3</v>
      </c>
      <c r="X62">
        <v>9.9999999999999995E-7</v>
      </c>
      <c r="Y62">
        <v>0.64066299999999998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1512</v>
      </c>
      <c r="I63">
        <v>35.56</v>
      </c>
      <c r="J63" t="s">
        <v>31</v>
      </c>
      <c r="K63">
        <v>600</v>
      </c>
      <c r="L63" t="s">
        <v>32</v>
      </c>
      <c r="M63">
        <v>8</v>
      </c>
      <c r="N63">
        <v>0</v>
      </c>
      <c r="O63">
        <v>4252</v>
      </c>
      <c r="P63">
        <v>0</v>
      </c>
      <c r="Q63">
        <v>8</v>
      </c>
      <c r="R63">
        <v>532</v>
      </c>
      <c r="S63">
        <v>0</v>
      </c>
      <c r="T63">
        <v>0</v>
      </c>
      <c r="U63">
        <v>0.82175900000000002</v>
      </c>
      <c r="V63">
        <v>5.0394000000000001E-2</v>
      </c>
      <c r="W63">
        <v>3.5140000000000002E-3</v>
      </c>
      <c r="X63">
        <v>9.9999999999999995E-7</v>
      </c>
      <c r="Y63">
        <v>0.87571299999999996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1512</v>
      </c>
      <c r="I64">
        <v>35.56</v>
      </c>
      <c r="J64" t="s">
        <v>31</v>
      </c>
      <c r="K64">
        <v>600</v>
      </c>
      <c r="L64" t="s">
        <v>32</v>
      </c>
      <c r="M64">
        <v>8</v>
      </c>
      <c r="N64">
        <v>0</v>
      </c>
      <c r="O64">
        <v>4252</v>
      </c>
      <c r="P64">
        <v>0</v>
      </c>
      <c r="Q64">
        <v>8</v>
      </c>
      <c r="R64">
        <v>532</v>
      </c>
      <c r="S64">
        <v>0</v>
      </c>
      <c r="T64">
        <v>0</v>
      </c>
      <c r="U64">
        <v>0.485703</v>
      </c>
      <c r="V64">
        <v>5.0249000000000002E-2</v>
      </c>
      <c r="W64">
        <v>3.4099999999999998E-3</v>
      </c>
      <c r="X64">
        <v>9.9999999999999995E-7</v>
      </c>
      <c r="Y64">
        <v>0.539408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1512</v>
      </c>
      <c r="I65">
        <v>35.56</v>
      </c>
      <c r="J65" t="s">
        <v>31</v>
      </c>
      <c r="K65">
        <v>600</v>
      </c>
      <c r="L65" t="s">
        <v>32</v>
      </c>
      <c r="M65">
        <v>8</v>
      </c>
      <c r="N65">
        <v>0</v>
      </c>
      <c r="O65">
        <v>4252</v>
      </c>
      <c r="P65">
        <v>0</v>
      </c>
      <c r="Q65">
        <v>8</v>
      </c>
      <c r="R65">
        <v>532</v>
      </c>
      <c r="S65">
        <v>0</v>
      </c>
      <c r="T65">
        <v>0</v>
      </c>
      <c r="U65">
        <v>0.71042799999999995</v>
      </c>
      <c r="V65">
        <v>5.033E-2</v>
      </c>
      <c r="W65">
        <v>3.4619999999999998E-3</v>
      </c>
      <c r="X65">
        <v>9.9999999999999995E-7</v>
      </c>
      <c r="Y65">
        <v>0.76426899999999998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1512</v>
      </c>
      <c r="I66">
        <v>35.56</v>
      </c>
      <c r="J66" t="s">
        <v>31</v>
      </c>
      <c r="K66">
        <v>600</v>
      </c>
      <c r="L66" t="s">
        <v>32</v>
      </c>
      <c r="M66">
        <v>8</v>
      </c>
      <c r="N66">
        <v>0</v>
      </c>
      <c r="O66">
        <v>4252</v>
      </c>
      <c r="P66">
        <v>0</v>
      </c>
      <c r="Q66">
        <v>8</v>
      </c>
      <c r="R66">
        <v>532</v>
      </c>
      <c r="S66">
        <v>0</v>
      </c>
      <c r="T66">
        <v>0</v>
      </c>
      <c r="U66">
        <v>0.82597500000000001</v>
      </c>
      <c r="V66">
        <v>5.0345000000000001E-2</v>
      </c>
      <c r="W66">
        <v>3.356E-3</v>
      </c>
      <c r="X66">
        <v>9.9999999999999995E-7</v>
      </c>
      <c r="Y66">
        <v>0.879722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1512</v>
      </c>
      <c r="I67">
        <v>35.56</v>
      </c>
      <c r="J67" t="s">
        <v>31</v>
      </c>
      <c r="K67">
        <v>600</v>
      </c>
      <c r="L67" t="s">
        <v>32</v>
      </c>
      <c r="M67">
        <v>8</v>
      </c>
      <c r="N67">
        <v>0</v>
      </c>
      <c r="O67">
        <v>4252</v>
      </c>
      <c r="P67">
        <v>0</v>
      </c>
      <c r="Q67">
        <v>8</v>
      </c>
      <c r="R67">
        <v>532</v>
      </c>
      <c r="S67">
        <v>0</v>
      </c>
      <c r="T67">
        <v>0</v>
      </c>
      <c r="U67">
        <v>0.54528900000000002</v>
      </c>
      <c r="V67">
        <v>5.1555999999999998E-2</v>
      </c>
      <c r="W67">
        <v>3.4229999999999998E-3</v>
      </c>
      <c r="X67">
        <v>9.9999999999999995E-7</v>
      </c>
      <c r="Y67">
        <v>0.60031599999999996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1512</v>
      </c>
      <c r="I68">
        <v>35.56</v>
      </c>
      <c r="J68" t="s">
        <v>31</v>
      </c>
      <c r="K68">
        <v>600</v>
      </c>
      <c r="L68" t="s">
        <v>32</v>
      </c>
      <c r="M68">
        <v>8</v>
      </c>
      <c r="N68">
        <v>0</v>
      </c>
      <c r="O68">
        <v>4252</v>
      </c>
      <c r="P68">
        <v>0</v>
      </c>
      <c r="Q68">
        <v>8</v>
      </c>
      <c r="R68">
        <v>532</v>
      </c>
      <c r="S68">
        <v>0</v>
      </c>
      <c r="T68">
        <v>0</v>
      </c>
      <c r="U68">
        <v>0.61533899999999997</v>
      </c>
      <c r="V68">
        <v>4.9761E-2</v>
      </c>
      <c r="W68">
        <v>3.5230000000000001E-3</v>
      </c>
      <c r="X68">
        <v>9.9999999999999995E-7</v>
      </c>
      <c r="Y68">
        <v>0.66867600000000005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1512</v>
      </c>
      <c r="I69">
        <v>35.56</v>
      </c>
      <c r="J69" t="s">
        <v>31</v>
      </c>
      <c r="K69">
        <v>600</v>
      </c>
      <c r="L69" t="s">
        <v>32</v>
      </c>
      <c r="M69">
        <v>8</v>
      </c>
      <c r="N69">
        <v>0</v>
      </c>
      <c r="O69">
        <v>4252</v>
      </c>
      <c r="P69">
        <v>0</v>
      </c>
      <c r="Q69">
        <v>8</v>
      </c>
      <c r="R69">
        <v>532</v>
      </c>
      <c r="S69">
        <v>0</v>
      </c>
      <c r="T69">
        <v>0</v>
      </c>
      <c r="U69">
        <v>0.54318900000000003</v>
      </c>
      <c r="V69">
        <v>5.0132000000000003E-2</v>
      </c>
      <c r="W69">
        <v>3.3570000000000002E-3</v>
      </c>
      <c r="X69">
        <v>9.9999999999999995E-7</v>
      </c>
      <c r="Y69">
        <v>0.59673399999999999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1512</v>
      </c>
      <c r="I70">
        <v>35.56</v>
      </c>
      <c r="J70" t="s">
        <v>31</v>
      </c>
      <c r="K70">
        <v>600</v>
      </c>
      <c r="L70" t="s">
        <v>32</v>
      </c>
      <c r="M70">
        <v>8</v>
      </c>
      <c r="N70">
        <v>0</v>
      </c>
      <c r="O70">
        <v>4252</v>
      </c>
      <c r="P70">
        <v>0</v>
      </c>
      <c r="Q70">
        <v>8</v>
      </c>
      <c r="R70">
        <v>532</v>
      </c>
      <c r="S70">
        <v>0</v>
      </c>
      <c r="T70">
        <v>0</v>
      </c>
      <c r="U70">
        <v>0.59455000000000002</v>
      </c>
      <c r="V70">
        <v>5.0311000000000002E-2</v>
      </c>
      <c r="W70">
        <v>3.5850000000000001E-3</v>
      </c>
      <c r="X70">
        <v>1.9999999999999999E-6</v>
      </c>
      <c r="Y70">
        <v>0.64852600000000005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1512</v>
      </c>
      <c r="I71">
        <v>35.56</v>
      </c>
      <c r="J71" t="s">
        <v>31</v>
      </c>
      <c r="K71">
        <v>600</v>
      </c>
      <c r="L71" t="s">
        <v>32</v>
      </c>
      <c r="M71">
        <v>8</v>
      </c>
      <c r="N71">
        <v>0</v>
      </c>
      <c r="O71">
        <v>4252</v>
      </c>
      <c r="P71">
        <v>0</v>
      </c>
      <c r="Q71">
        <v>8</v>
      </c>
      <c r="R71">
        <v>532</v>
      </c>
      <c r="S71">
        <v>0</v>
      </c>
      <c r="T71">
        <v>0</v>
      </c>
      <c r="U71">
        <v>0.68624799999999997</v>
      </c>
      <c r="V71">
        <v>5.0291000000000002E-2</v>
      </c>
      <c r="W71">
        <v>3.4559999999999999E-3</v>
      </c>
      <c r="X71">
        <v>9.9999999999999995E-7</v>
      </c>
      <c r="Y71">
        <v>0.74004300000000001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1512</v>
      </c>
      <c r="I72">
        <v>35.56</v>
      </c>
      <c r="J72" t="s">
        <v>31</v>
      </c>
      <c r="K72">
        <v>600</v>
      </c>
      <c r="L72" t="s">
        <v>32</v>
      </c>
      <c r="M72">
        <v>8</v>
      </c>
      <c r="N72">
        <v>0</v>
      </c>
      <c r="O72">
        <v>4252</v>
      </c>
      <c r="P72">
        <v>0</v>
      </c>
      <c r="Q72">
        <v>8</v>
      </c>
      <c r="R72">
        <v>532</v>
      </c>
      <c r="S72">
        <v>0</v>
      </c>
      <c r="T72">
        <v>0</v>
      </c>
      <c r="U72">
        <v>0.48206900000000003</v>
      </c>
      <c r="V72">
        <v>5.0209999999999998E-2</v>
      </c>
      <c r="W72">
        <v>3.4150000000000001E-3</v>
      </c>
      <c r="X72">
        <v>9.9999999999999995E-7</v>
      </c>
      <c r="Y72">
        <v>0.53573999999999999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1512</v>
      </c>
      <c r="I73">
        <v>35.56</v>
      </c>
      <c r="J73" t="s">
        <v>31</v>
      </c>
      <c r="K73">
        <v>600</v>
      </c>
      <c r="L73" t="s">
        <v>32</v>
      </c>
      <c r="M73">
        <v>8</v>
      </c>
      <c r="N73">
        <v>0</v>
      </c>
      <c r="O73">
        <v>4252</v>
      </c>
      <c r="P73">
        <v>0</v>
      </c>
      <c r="Q73">
        <v>8</v>
      </c>
      <c r="R73">
        <v>532</v>
      </c>
      <c r="S73">
        <v>0</v>
      </c>
      <c r="T73">
        <v>0</v>
      </c>
      <c r="U73">
        <v>0.732881</v>
      </c>
      <c r="V73">
        <v>5.0741000000000001E-2</v>
      </c>
      <c r="W73">
        <v>3.3830000000000002E-3</v>
      </c>
      <c r="X73">
        <v>9.9999999999999995E-7</v>
      </c>
      <c r="Y73">
        <v>0.78705199999999997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1512</v>
      </c>
      <c r="I74">
        <v>35.56</v>
      </c>
      <c r="J74" t="s">
        <v>31</v>
      </c>
      <c r="K74">
        <v>600</v>
      </c>
      <c r="L74" t="s">
        <v>32</v>
      </c>
      <c r="M74">
        <v>8</v>
      </c>
      <c r="N74">
        <v>0</v>
      </c>
      <c r="O74">
        <v>4252</v>
      </c>
      <c r="P74">
        <v>0</v>
      </c>
      <c r="Q74">
        <v>8</v>
      </c>
      <c r="R74">
        <v>532</v>
      </c>
      <c r="S74">
        <v>0</v>
      </c>
      <c r="T74">
        <v>0</v>
      </c>
      <c r="U74">
        <v>0.75319800000000003</v>
      </c>
      <c r="V74">
        <v>5.0569000000000003E-2</v>
      </c>
      <c r="W74">
        <v>3.2889999999999998E-3</v>
      </c>
      <c r="X74">
        <v>9.9999999999999995E-7</v>
      </c>
      <c r="Y74">
        <v>0.80710000000000004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1512</v>
      </c>
      <c r="I75">
        <v>35.56</v>
      </c>
      <c r="J75" t="s">
        <v>31</v>
      </c>
      <c r="K75">
        <v>600</v>
      </c>
      <c r="L75" t="s">
        <v>32</v>
      </c>
      <c r="M75">
        <v>8</v>
      </c>
      <c r="N75">
        <v>0</v>
      </c>
      <c r="O75">
        <v>4252</v>
      </c>
      <c r="P75">
        <v>0</v>
      </c>
      <c r="Q75">
        <v>8</v>
      </c>
      <c r="R75">
        <v>532</v>
      </c>
      <c r="S75">
        <v>0</v>
      </c>
      <c r="T75">
        <v>0</v>
      </c>
      <c r="U75">
        <v>0.63069799999999998</v>
      </c>
      <c r="V75">
        <v>5.1450999999999997E-2</v>
      </c>
      <c r="W75">
        <v>3.5530000000000002E-3</v>
      </c>
      <c r="X75">
        <v>9.9999999999999995E-7</v>
      </c>
      <c r="Y75">
        <v>0.68576999999999999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1512</v>
      </c>
      <c r="I76">
        <v>35.56</v>
      </c>
      <c r="J76" t="s">
        <v>31</v>
      </c>
      <c r="K76">
        <v>600</v>
      </c>
      <c r="L76" t="s">
        <v>32</v>
      </c>
      <c r="M76">
        <v>8</v>
      </c>
      <c r="N76">
        <v>0</v>
      </c>
      <c r="O76">
        <v>4252</v>
      </c>
      <c r="P76">
        <v>0</v>
      </c>
      <c r="Q76">
        <v>8</v>
      </c>
      <c r="R76">
        <v>532</v>
      </c>
      <c r="S76">
        <v>0</v>
      </c>
      <c r="T76">
        <v>0</v>
      </c>
      <c r="U76">
        <v>0.49070799999999998</v>
      </c>
      <c r="V76">
        <v>5.1385E-2</v>
      </c>
      <c r="W76">
        <v>3.437E-3</v>
      </c>
      <c r="X76">
        <v>9.9999999999999995E-7</v>
      </c>
      <c r="Y76">
        <v>0.54557199999999995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1512</v>
      </c>
      <c r="I77">
        <v>35.56</v>
      </c>
      <c r="J77" t="s">
        <v>31</v>
      </c>
      <c r="K77">
        <v>600</v>
      </c>
      <c r="L77" t="s">
        <v>32</v>
      </c>
      <c r="M77">
        <v>8</v>
      </c>
      <c r="N77">
        <v>0</v>
      </c>
      <c r="O77">
        <v>4252</v>
      </c>
      <c r="P77">
        <v>0</v>
      </c>
      <c r="Q77">
        <v>8</v>
      </c>
      <c r="R77">
        <v>532</v>
      </c>
      <c r="S77">
        <v>0</v>
      </c>
      <c r="T77">
        <v>0</v>
      </c>
      <c r="U77">
        <v>0.51440799999999998</v>
      </c>
      <c r="V77">
        <v>5.0175999999999998E-2</v>
      </c>
      <c r="W77">
        <v>3.588E-3</v>
      </c>
      <c r="X77">
        <v>9.9999999999999995E-7</v>
      </c>
      <c r="Y77">
        <v>0.568218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1512</v>
      </c>
      <c r="I78">
        <v>35.56</v>
      </c>
      <c r="J78" t="s">
        <v>31</v>
      </c>
      <c r="K78">
        <v>600</v>
      </c>
      <c r="L78" t="s">
        <v>32</v>
      </c>
      <c r="M78">
        <v>8</v>
      </c>
      <c r="N78">
        <v>0</v>
      </c>
      <c r="O78">
        <v>4252</v>
      </c>
      <c r="P78">
        <v>0</v>
      </c>
      <c r="Q78">
        <v>8</v>
      </c>
      <c r="R78">
        <v>532</v>
      </c>
      <c r="S78">
        <v>0</v>
      </c>
      <c r="T78">
        <v>0</v>
      </c>
      <c r="U78">
        <v>0.70039700000000005</v>
      </c>
      <c r="V78">
        <v>5.0254E-2</v>
      </c>
      <c r="W78">
        <v>3.4629999999999999E-3</v>
      </c>
      <c r="X78">
        <v>9.9999999999999995E-7</v>
      </c>
      <c r="Y78">
        <v>0.75416099999999997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1512</v>
      </c>
      <c r="I79">
        <v>35.56</v>
      </c>
      <c r="J79" t="s">
        <v>31</v>
      </c>
      <c r="K79">
        <v>600</v>
      </c>
      <c r="L79" t="s">
        <v>32</v>
      </c>
      <c r="M79">
        <v>8</v>
      </c>
      <c r="N79">
        <v>0</v>
      </c>
      <c r="O79">
        <v>4252</v>
      </c>
      <c r="P79">
        <v>0</v>
      </c>
      <c r="Q79">
        <v>8</v>
      </c>
      <c r="R79">
        <v>532</v>
      </c>
      <c r="S79">
        <v>0</v>
      </c>
      <c r="T79">
        <v>0</v>
      </c>
      <c r="U79">
        <v>0.767486</v>
      </c>
      <c r="V79">
        <v>5.0152000000000002E-2</v>
      </c>
      <c r="W79">
        <v>3.5599999999999998E-3</v>
      </c>
      <c r="X79">
        <v>9.9999999999999995E-7</v>
      </c>
      <c r="Y79">
        <v>0.82124299999999995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1512</v>
      </c>
      <c r="I80">
        <v>35.56</v>
      </c>
      <c r="J80" t="s">
        <v>31</v>
      </c>
      <c r="K80">
        <v>600</v>
      </c>
      <c r="L80" t="s">
        <v>32</v>
      </c>
      <c r="M80">
        <v>8</v>
      </c>
      <c r="N80">
        <v>0</v>
      </c>
      <c r="O80">
        <v>4252</v>
      </c>
      <c r="P80">
        <v>0</v>
      </c>
      <c r="Q80">
        <v>8</v>
      </c>
      <c r="R80">
        <v>532</v>
      </c>
      <c r="S80">
        <v>0</v>
      </c>
      <c r="T80">
        <v>0</v>
      </c>
      <c r="U80">
        <v>0.61591399999999996</v>
      </c>
      <c r="V80">
        <v>5.1093E-2</v>
      </c>
      <c r="W80">
        <v>3.3639999999999998E-3</v>
      </c>
      <c r="X80">
        <v>9.9999999999999995E-7</v>
      </c>
      <c r="Y80">
        <v>0.67041499999999998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1512</v>
      </c>
      <c r="I81">
        <v>35.56</v>
      </c>
      <c r="J81" t="s">
        <v>31</v>
      </c>
      <c r="K81">
        <v>600</v>
      </c>
      <c r="L81" t="s">
        <v>32</v>
      </c>
      <c r="M81">
        <v>8</v>
      </c>
      <c r="N81">
        <v>0</v>
      </c>
      <c r="O81">
        <v>4252</v>
      </c>
      <c r="P81">
        <v>0</v>
      </c>
      <c r="Q81">
        <v>8</v>
      </c>
      <c r="R81">
        <v>532</v>
      </c>
      <c r="S81">
        <v>0</v>
      </c>
      <c r="T81">
        <v>0</v>
      </c>
      <c r="U81">
        <v>0.57290600000000003</v>
      </c>
      <c r="V81">
        <v>5.0370999999999999E-2</v>
      </c>
      <c r="W81">
        <v>3.5950000000000001E-3</v>
      </c>
      <c r="X81">
        <v>1.9999999999999999E-6</v>
      </c>
      <c r="Y81">
        <v>0.62692400000000004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1512</v>
      </c>
      <c r="I82">
        <v>35.56</v>
      </c>
      <c r="J82" t="s">
        <v>31</v>
      </c>
      <c r="K82">
        <v>600</v>
      </c>
      <c r="L82" t="s">
        <v>32</v>
      </c>
      <c r="M82">
        <v>8</v>
      </c>
      <c r="N82">
        <v>0</v>
      </c>
      <c r="O82">
        <v>4252</v>
      </c>
      <c r="P82">
        <v>0</v>
      </c>
      <c r="Q82">
        <v>8</v>
      </c>
      <c r="R82">
        <v>532</v>
      </c>
      <c r="S82">
        <v>0</v>
      </c>
      <c r="T82">
        <v>0</v>
      </c>
      <c r="U82">
        <v>0.678921</v>
      </c>
      <c r="V82">
        <v>5.1533000000000002E-2</v>
      </c>
      <c r="W82">
        <v>3.4870000000000001E-3</v>
      </c>
      <c r="X82">
        <v>9.9999999999999995E-7</v>
      </c>
      <c r="Y82">
        <v>0.73398699999999995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1512</v>
      </c>
      <c r="I83">
        <v>35.56</v>
      </c>
      <c r="J83" t="s">
        <v>31</v>
      </c>
      <c r="K83">
        <v>600</v>
      </c>
      <c r="L83" t="s">
        <v>32</v>
      </c>
      <c r="M83">
        <v>8</v>
      </c>
      <c r="N83">
        <v>0</v>
      </c>
      <c r="O83">
        <v>4252</v>
      </c>
      <c r="P83">
        <v>0</v>
      </c>
      <c r="Q83">
        <v>8</v>
      </c>
      <c r="R83">
        <v>532</v>
      </c>
      <c r="S83">
        <v>0</v>
      </c>
      <c r="T83">
        <v>0</v>
      </c>
      <c r="U83">
        <v>0.80761499999999997</v>
      </c>
      <c r="V83">
        <v>5.0432999999999999E-2</v>
      </c>
      <c r="W83">
        <v>3.5829999999999998E-3</v>
      </c>
      <c r="X83">
        <v>9.9999999999999995E-7</v>
      </c>
      <c r="Y83">
        <v>0.86168599999999995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1512</v>
      </c>
      <c r="I84">
        <v>35.56</v>
      </c>
      <c r="J84" t="s">
        <v>31</v>
      </c>
      <c r="K84">
        <v>600</v>
      </c>
      <c r="L84" t="s">
        <v>32</v>
      </c>
      <c r="M84">
        <v>8</v>
      </c>
      <c r="N84">
        <v>0</v>
      </c>
      <c r="O84">
        <v>4252</v>
      </c>
      <c r="P84">
        <v>0</v>
      </c>
      <c r="Q84">
        <v>8</v>
      </c>
      <c r="R84">
        <v>532</v>
      </c>
      <c r="S84">
        <v>0</v>
      </c>
      <c r="T84">
        <v>0</v>
      </c>
      <c r="U84">
        <v>0.725101</v>
      </c>
      <c r="V84">
        <v>5.0465000000000003E-2</v>
      </c>
      <c r="W84">
        <v>3.369E-3</v>
      </c>
      <c r="X84">
        <v>9.9999999999999995E-7</v>
      </c>
      <c r="Y84">
        <v>0.77899399999999996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1512</v>
      </c>
      <c r="I85">
        <v>35.56</v>
      </c>
      <c r="J85" t="s">
        <v>31</v>
      </c>
      <c r="K85">
        <v>600</v>
      </c>
      <c r="L85" t="s">
        <v>32</v>
      </c>
      <c r="M85">
        <v>8</v>
      </c>
      <c r="N85">
        <v>0</v>
      </c>
      <c r="O85">
        <v>4252</v>
      </c>
      <c r="P85">
        <v>0</v>
      </c>
      <c r="Q85">
        <v>8</v>
      </c>
      <c r="R85">
        <v>532</v>
      </c>
      <c r="S85">
        <v>0</v>
      </c>
      <c r="T85">
        <v>0</v>
      </c>
      <c r="U85">
        <v>0.73229999999999995</v>
      </c>
      <c r="V85">
        <v>5.0294999999999999E-2</v>
      </c>
      <c r="W85">
        <v>3.441E-3</v>
      </c>
      <c r="X85">
        <v>9.9999999999999995E-7</v>
      </c>
      <c r="Y85">
        <v>0.78608100000000003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1512</v>
      </c>
      <c r="I86">
        <v>35.56</v>
      </c>
      <c r="J86" t="s">
        <v>31</v>
      </c>
      <c r="K86">
        <v>600</v>
      </c>
      <c r="L86" t="s">
        <v>32</v>
      </c>
      <c r="M86">
        <v>8</v>
      </c>
      <c r="N86">
        <v>0</v>
      </c>
      <c r="O86">
        <v>4252</v>
      </c>
      <c r="P86">
        <v>0</v>
      </c>
      <c r="Q86">
        <v>8</v>
      </c>
      <c r="R86">
        <v>532</v>
      </c>
      <c r="S86">
        <v>0</v>
      </c>
      <c r="T86">
        <v>0</v>
      </c>
      <c r="U86">
        <v>0.66950900000000002</v>
      </c>
      <c r="V86">
        <v>5.1576999999999998E-2</v>
      </c>
      <c r="W86">
        <v>3.3899999999999998E-3</v>
      </c>
      <c r="X86">
        <v>9.9999999999999995E-7</v>
      </c>
      <c r="Y86">
        <v>0.72452499999999997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1512</v>
      </c>
      <c r="I87">
        <v>35.56</v>
      </c>
      <c r="J87" t="s">
        <v>31</v>
      </c>
      <c r="K87">
        <v>600</v>
      </c>
      <c r="L87" t="s">
        <v>32</v>
      </c>
      <c r="M87">
        <v>8</v>
      </c>
      <c r="N87">
        <v>0</v>
      </c>
      <c r="O87">
        <v>4252</v>
      </c>
      <c r="P87">
        <v>0</v>
      </c>
      <c r="Q87">
        <v>8</v>
      </c>
      <c r="R87">
        <v>532</v>
      </c>
      <c r="S87">
        <v>0</v>
      </c>
      <c r="T87">
        <v>0</v>
      </c>
      <c r="U87">
        <v>0.64865099999999998</v>
      </c>
      <c r="V87">
        <v>5.0227000000000001E-2</v>
      </c>
      <c r="W87">
        <v>3.5920000000000001E-3</v>
      </c>
      <c r="X87">
        <v>9.9999999999999995E-7</v>
      </c>
      <c r="Y87">
        <v>0.70252099999999995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1512</v>
      </c>
      <c r="I88">
        <v>35.56</v>
      </c>
      <c r="J88" t="s">
        <v>31</v>
      </c>
      <c r="K88">
        <v>600</v>
      </c>
      <c r="L88" t="s">
        <v>32</v>
      </c>
      <c r="M88">
        <v>8</v>
      </c>
      <c r="N88">
        <v>0</v>
      </c>
      <c r="O88">
        <v>4252</v>
      </c>
      <c r="P88">
        <v>0</v>
      </c>
      <c r="Q88">
        <v>8</v>
      </c>
      <c r="R88">
        <v>532</v>
      </c>
      <c r="S88">
        <v>0</v>
      </c>
      <c r="T88">
        <v>0</v>
      </c>
      <c r="U88">
        <v>0.74789899999999998</v>
      </c>
      <c r="V88">
        <v>5.0140999999999998E-2</v>
      </c>
      <c r="W88">
        <v>3.4269999999999999E-3</v>
      </c>
      <c r="X88">
        <v>9.9999999999999995E-7</v>
      </c>
      <c r="Y88">
        <v>0.80151399999999995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1512</v>
      </c>
      <c r="I89">
        <v>35.56</v>
      </c>
      <c r="J89" t="s">
        <v>31</v>
      </c>
      <c r="K89">
        <v>600</v>
      </c>
      <c r="L89" t="s">
        <v>32</v>
      </c>
      <c r="M89">
        <v>8</v>
      </c>
      <c r="N89">
        <v>0</v>
      </c>
      <c r="O89">
        <v>4252</v>
      </c>
      <c r="P89">
        <v>0</v>
      </c>
      <c r="Q89">
        <v>8</v>
      </c>
      <c r="R89">
        <v>532</v>
      </c>
      <c r="S89">
        <v>0</v>
      </c>
      <c r="T89">
        <v>0</v>
      </c>
      <c r="U89">
        <v>0.58798700000000004</v>
      </c>
      <c r="V89">
        <v>5.1318999999999997E-2</v>
      </c>
      <c r="W89">
        <v>3.6150000000000002E-3</v>
      </c>
      <c r="X89">
        <v>1.9999999999999999E-6</v>
      </c>
      <c r="Y89">
        <v>0.64300900000000005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1512</v>
      </c>
      <c r="I90">
        <v>35.56</v>
      </c>
      <c r="J90" t="s">
        <v>31</v>
      </c>
      <c r="K90">
        <v>600</v>
      </c>
      <c r="L90" t="s">
        <v>32</v>
      </c>
      <c r="M90">
        <v>8</v>
      </c>
      <c r="N90">
        <v>0</v>
      </c>
      <c r="O90">
        <v>4252</v>
      </c>
      <c r="P90">
        <v>0</v>
      </c>
      <c r="Q90">
        <v>8</v>
      </c>
      <c r="R90">
        <v>532</v>
      </c>
      <c r="S90">
        <v>0</v>
      </c>
      <c r="T90">
        <v>0</v>
      </c>
      <c r="U90">
        <v>0.73529</v>
      </c>
      <c r="V90">
        <v>5.1674999999999999E-2</v>
      </c>
      <c r="W90">
        <v>3.4380000000000001E-3</v>
      </c>
      <c r="X90">
        <v>9.9999999999999995E-7</v>
      </c>
      <c r="Y90">
        <v>0.79044599999999998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1512</v>
      </c>
      <c r="I91">
        <v>35.56</v>
      </c>
      <c r="J91" t="s">
        <v>31</v>
      </c>
      <c r="K91">
        <v>600</v>
      </c>
      <c r="L91" t="s">
        <v>32</v>
      </c>
      <c r="M91">
        <v>8</v>
      </c>
      <c r="N91">
        <v>0</v>
      </c>
      <c r="O91">
        <v>4252</v>
      </c>
      <c r="P91">
        <v>0</v>
      </c>
      <c r="Q91">
        <v>8</v>
      </c>
      <c r="R91">
        <v>532</v>
      </c>
      <c r="S91">
        <v>0</v>
      </c>
      <c r="T91">
        <v>0</v>
      </c>
      <c r="U91">
        <v>0.717862</v>
      </c>
      <c r="V91">
        <v>5.1417999999999998E-2</v>
      </c>
      <c r="W91">
        <v>3.663E-3</v>
      </c>
      <c r="X91">
        <v>9.9999999999999995E-7</v>
      </c>
      <c r="Y91">
        <v>0.77299499999999999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1512</v>
      </c>
      <c r="I92">
        <v>35.56</v>
      </c>
      <c r="J92" t="s">
        <v>31</v>
      </c>
      <c r="K92">
        <v>600</v>
      </c>
      <c r="L92" t="s">
        <v>32</v>
      </c>
      <c r="M92">
        <v>8</v>
      </c>
      <c r="N92">
        <v>0</v>
      </c>
      <c r="O92">
        <v>4252</v>
      </c>
      <c r="P92">
        <v>0</v>
      </c>
      <c r="Q92">
        <v>8</v>
      </c>
      <c r="R92">
        <v>532</v>
      </c>
      <c r="S92">
        <v>0</v>
      </c>
      <c r="T92">
        <v>0</v>
      </c>
      <c r="U92">
        <v>0.75514800000000004</v>
      </c>
      <c r="V92">
        <v>5.1248000000000002E-2</v>
      </c>
      <c r="W92">
        <v>3.4030000000000002E-3</v>
      </c>
      <c r="X92">
        <v>9.9999999999999995E-7</v>
      </c>
      <c r="Y92">
        <v>0.80985499999999999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1512</v>
      </c>
      <c r="I93">
        <v>35.56</v>
      </c>
      <c r="J93" t="s">
        <v>31</v>
      </c>
      <c r="K93">
        <v>600</v>
      </c>
      <c r="L93" t="s">
        <v>32</v>
      </c>
      <c r="M93">
        <v>8</v>
      </c>
      <c r="N93">
        <v>0</v>
      </c>
      <c r="O93">
        <v>4252</v>
      </c>
      <c r="P93">
        <v>0</v>
      </c>
      <c r="Q93">
        <v>8</v>
      </c>
      <c r="R93">
        <v>532</v>
      </c>
      <c r="S93">
        <v>0</v>
      </c>
      <c r="T93">
        <v>0</v>
      </c>
      <c r="U93">
        <v>0.68992200000000004</v>
      </c>
      <c r="V93">
        <v>5.0377999999999999E-2</v>
      </c>
      <c r="W93">
        <v>3.392E-3</v>
      </c>
      <c r="X93">
        <v>9.9999999999999995E-7</v>
      </c>
      <c r="Y93">
        <v>0.74373999999999996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1512</v>
      </c>
      <c r="I94">
        <v>35.56</v>
      </c>
      <c r="J94" t="s">
        <v>31</v>
      </c>
      <c r="K94">
        <v>600</v>
      </c>
      <c r="L94" t="s">
        <v>32</v>
      </c>
      <c r="M94">
        <v>8</v>
      </c>
      <c r="N94">
        <v>0</v>
      </c>
      <c r="O94">
        <v>4252</v>
      </c>
      <c r="P94">
        <v>0</v>
      </c>
      <c r="Q94">
        <v>8</v>
      </c>
      <c r="R94">
        <v>532</v>
      </c>
      <c r="S94">
        <v>0</v>
      </c>
      <c r="T94">
        <v>0</v>
      </c>
      <c r="U94">
        <v>0.69439200000000001</v>
      </c>
      <c r="V94">
        <v>5.0063000000000003E-2</v>
      </c>
      <c r="W94">
        <v>3.46E-3</v>
      </c>
      <c r="X94">
        <v>9.9999999999999995E-7</v>
      </c>
      <c r="Y94">
        <v>0.74796600000000002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1512</v>
      </c>
      <c r="I95">
        <v>35.56</v>
      </c>
      <c r="J95" t="s">
        <v>31</v>
      </c>
      <c r="K95">
        <v>600</v>
      </c>
      <c r="L95" t="s">
        <v>32</v>
      </c>
      <c r="M95">
        <v>8</v>
      </c>
      <c r="N95">
        <v>0</v>
      </c>
      <c r="O95">
        <v>4252</v>
      </c>
      <c r="P95">
        <v>0</v>
      </c>
      <c r="Q95">
        <v>8</v>
      </c>
      <c r="R95">
        <v>532</v>
      </c>
      <c r="S95">
        <v>0</v>
      </c>
      <c r="T95">
        <v>0</v>
      </c>
      <c r="U95">
        <v>0.55625599999999997</v>
      </c>
      <c r="V95">
        <v>5.0319999999999997E-2</v>
      </c>
      <c r="W95">
        <v>3.4160000000000002E-3</v>
      </c>
      <c r="X95">
        <v>9.9999999999999995E-7</v>
      </c>
      <c r="Y95">
        <v>0.61003399999999997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2148</v>
      </c>
      <c r="E96">
        <v>33.56</v>
      </c>
      <c r="F96">
        <v>4252</v>
      </c>
      <c r="G96">
        <v>66.44</v>
      </c>
      <c r="H96">
        <v>1512</v>
      </c>
      <c r="I96">
        <v>35.56</v>
      </c>
      <c r="J96" t="s">
        <v>31</v>
      </c>
      <c r="K96">
        <v>600</v>
      </c>
      <c r="L96" t="s">
        <v>32</v>
      </c>
      <c r="M96">
        <v>8</v>
      </c>
      <c r="N96">
        <v>0</v>
      </c>
      <c r="O96">
        <v>4252</v>
      </c>
      <c r="P96">
        <v>0</v>
      </c>
      <c r="Q96">
        <v>8</v>
      </c>
      <c r="R96">
        <v>532</v>
      </c>
      <c r="S96">
        <v>0</v>
      </c>
      <c r="T96">
        <v>0</v>
      </c>
      <c r="U96">
        <v>0.60359200000000002</v>
      </c>
      <c r="V96">
        <v>5.1465999999999998E-2</v>
      </c>
      <c r="W96">
        <v>3.4129999999999998E-3</v>
      </c>
      <c r="X96">
        <v>9.9999999999999995E-7</v>
      </c>
      <c r="Y96">
        <v>0.65852100000000002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2148</v>
      </c>
      <c r="E97">
        <v>33.56</v>
      </c>
      <c r="F97">
        <v>4252</v>
      </c>
      <c r="G97">
        <v>66.44</v>
      </c>
      <c r="H97">
        <v>1512</v>
      </c>
      <c r="I97">
        <v>35.56</v>
      </c>
      <c r="J97" t="s">
        <v>31</v>
      </c>
      <c r="K97">
        <v>600</v>
      </c>
      <c r="L97" t="s">
        <v>32</v>
      </c>
      <c r="M97">
        <v>8</v>
      </c>
      <c r="N97">
        <v>0</v>
      </c>
      <c r="O97">
        <v>4252</v>
      </c>
      <c r="P97">
        <v>0</v>
      </c>
      <c r="Q97">
        <v>8</v>
      </c>
      <c r="R97">
        <v>532</v>
      </c>
      <c r="S97">
        <v>0</v>
      </c>
      <c r="T97">
        <v>0</v>
      </c>
      <c r="U97">
        <v>0.52116399999999996</v>
      </c>
      <c r="V97">
        <v>5.117E-2</v>
      </c>
      <c r="W97">
        <v>3.3479999999999998E-3</v>
      </c>
      <c r="X97">
        <v>9.9999999999999995E-7</v>
      </c>
      <c r="Y97">
        <v>0.57572900000000005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2148</v>
      </c>
      <c r="E98">
        <v>33.56</v>
      </c>
      <c r="F98">
        <v>4252</v>
      </c>
      <c r="G98">
        <v>66.44</v>
      </c>
      <c r="H98">
        <v>1512</v>
      </c>
      <c r="I98">
        <v>35.56</v>
      </c>
      <c r="J98" t="s">
        <v>31</v>
      </c>
      <c r="K98">
        <v>600</v>
      </c>
      <c r="L98" t="s">
        <v>32</v>
      </c>
      <c r="M98">
        <v>8</v>
      </c>
      <c r="N98">
        <v>0</v>
      </c>
      <c r="O98">
        <v>4252</v>
      </c>
      <c r="P98">
        <v>0</v>
      </c>
      <c r="Q98">
        <v>8</v>
      </c>
      <c r="R98">
        <v>532</v>
      </c>
      <c r="S98">
        <v>0</v>
      </c>
      <c r="T98">
        <v>0</v>
      </c>
      <c r="U98">
        <v>0.72465400000000002</v>
      </c>
      <c r="V98">
        <v>5.1289000000000001E-2</v>
      </c>
      <c r="W98">
        <v>3.4060000000000002E-3</v>
      </c>
      <c r="X98">
        <v>9.9999999999999995E-7</v>
      </c>
      <c r="Y98">
        <v>0.77939700000000001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2148</v>
      </c>
      <c r="E99">
        <v>33.56</v>
      </c>
      <c r="F99">
        <v>4252</v>
      </c>
      <c r="G99">
        <v>66.44</v>
      </c>
      <c r="H99">
        <v>1512</v>
      </c>
      <c r="I99">
        <v>35.56</v>
      </c>
      <c r="J99" t="s">
        <v>31</v>
      </c>
      <c r="K99">
        <v>600</v>
      </c>
      <c r="L99" t="s">
        <v>32</v>
      </c>
      <c r="M99">
        <v>8</v>
      </c>
      <c r="N99">
        <v>0</v>
      </c>
      <c r="O99">
        <v>4252</v>
      </c>
      <c r="P99">
        <v>0</v>
      </c>
      <c r="Q99">
        <v>8</v>
      </c>
      <c r="R99">
        <v>532</v>
      </c>
      <c r="S99">
        <v>0</v>
      </c>
      <c r="T99">
        <v>0</v>
      </c>
      <c r="U99">
        <v>0.57718700000000001</v>
      </c>
      <c r="V99">
        <v>4.9957000000000001E-2</v>
      </c>
      <c r="W99">
        <v>3.4499999999999999E-3</v>
      </c>
      <c r="X99">
        <v>9.9999999999999995E-7</v>
      </c>
      <c r="Y99">
        <v>0.63063899999999995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2148</v>
      </c>
      <c r="E100">
        <v>33.56</v>
      </c>
      <c r="F100">
        <v>4252</v>
      </c>
      <c r="G100">
        <v>66.44</v>
      </c>
      <c r="H100">
        <v>1512</v>
      </c>
      <c r="I100">
        <v>35.56</v>
      </c>
      <c r="J100" t="s">
        <v>31</v>
      </c>
      <c r="K100">
        <v>600</v>
      </c>
      <c r="L100" t="s">
        <v>32</v>
      </c>
      <c r="M100">
        <v>8</v>
      </c>
      <c r="N100">
        <v>0</v>
      </c>
      <c r="O100">
        <v>4252</v>
      </c>
      <c r="P100">
        <v>0</v>
      </c>
      <c r="Q100">
        <v>8</v>
      </c>
      <c r="R100">
        <v>532</v>
      </c>
      <c r="S100">
        <v>0</v>
      </c>
      <c r="T100">
        <v>0</v>
      </c>
      <c r="U100">
        <v>0.54978499999999997</v>
      </c>
      <c r="V100">
        <v>4.9891999999999999E-2</v>
      </c>
      <c r="W100">
        <v>3.4090000000000001E-3</v>
      </c>
      <c r="X100">
        <v>9.9999999999999995E-7</v>
      </c>
      <c r="Y100">
        <v>0.60313600000000001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2148</v>
      </c>
      <c r="E101">
        <v>33.56</v>
      </c>
      <c r="F101">
        <v>4252</v>
      </c>
      <c r="G101">
        <v>66.44</v>
      </c>
      <c r="H101">
        <v>1512</v>
      </c>
      <c r="I101">
        <v>35.56</v>
      </c>
      <c r="J101" t="s">
        <v>31</v>
      </c>
      <c r="K101">
        <v>600</v>
      </c>
      <c r="L101" t="s">
        <v>32</v>
      </c>
      <c r="M101">
        <v>8</v>
      </c>
      <c r="N101">
        <v>0</v>
      </c>
      <c r="O101">
        <v>4252</v>
      </c>
      <c r="P101">
        <v>0</v>
      </c>
      <c r="Q101">
        <v>8</v>
      </c>
      <c r="R101">
        <v>532</v>
      </c>
      <c r="S101">
        <v>0</v>
      </c>
      <c r="T101">
        <v>0</v>
      </c>
      <c r="U101">
        <v>0.68657900000000005</v>
      </c>
      <c r="V101">
        <v>5.0208999999999997E-2</v>
      </c>
      <c r="W101">
        <v>3.4489999999999998E-3</v>
      </c>
      <c r="X101">
        <v>9.9999999999999995E-7</v>
      </c>
      <c r="Y101">
        <v>0.74028400000000005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0</v>
      </c>
      <c r="O102">
        <f>AVERAGE(Tabella1[cumulative_energy_used_by_uavs])</f>
        <v>4252</v>
      </c>
      <c r="P102">
        <f>AVERAGE(Tabella1[cumulative_energy_wasted_by_uavs])</f>
        <v>0</v>
      </c>
      <c r="Q102">
        <f>AVERAGE(Tabella1[cumulative_number_of_batteries_used_by_uavs])</f>
        <v>8</v>
      </c>
      <c r="R102">
        <f>AVERAGE(Tabella1[mission_time_seconds])</f>
        <v>532</v>
      </c>
      <c r="S102">
        <f>AVERAGE(Tabella1[bsss_mission_time_seconds])</f>
        <v>0</v>
      </c>
      <c r="T102">
        <f>AVERAGE(Tabella1[cumulative_swap_time_seconds])</f>
        <v>0</v>
      </c>
      <c r="U102">
        <f>AVERAGE(Tabella1[darp_execution_time_seconds])</f>
        <v>0.65201923999999989</v>
      </c>
      <c r="V102">
        <f>AVERAGE(Tabella1[stc_execution_time_seconds])</f>
        <v>5.0728179999999998E-2</v>
      </c>
      <c r="W102">
        <f>AVERAGE(Tabella1[pp_uavs_execution_time_seconds])</f>
        <v>3.4663899999999997E-3</v>
      </c>
      <c r="X102">
        <f>AVERAGE(Tabella1[pp_bsss_execution_time_seconds])</f>
        <v>1.2099999999999982E-6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DE7A-8F9A-5644-AF81-38651918591F}">
  <dimension ref="A1:C831"/>
  <sheetViews>
    <sheetView tabSelected="1" workbookViewId="0">
      <selection activeCell="C2" sqref="C2"/>
    </sheetView>
  </sheetViews>
  <sheetFormatPr baseColWidth="10" defaultRowHeight="16" x14ac:dyDescent="0.2"/>
  <cols>
    <col min="1" max="16384" width="10.83203125" style="1"/>
  </cols>
  <sheetData>
    <row r="1" spans="1:3" x14ac:dyDescent="0.2">
      <c r="B1" s="1" t="s">
        <v>41</v>
      </c>
      <c r="C1" s="1">
        <v>600</v>
      </c>
    </row>
    <row r="2" spans="1:3" x14ac:dyDescent="0.2">
      <c r="B2" s="1" t="s">
        <v>42</v>
      </c>
      <c r="C2" s="3">
        <f>AVERAGE(C4:C831)</f>
        <v>0.88583333333333336</v>
      </c>
    </row>
    <row r="4" spans="1:3" x14ac:dyDescent="0.2">
      <c r="A4" s="2" t="s">
        <v>33</v>
      </c>
      <c r="B4" s="2">
        <v>528</v>
      </c>
    </row>
    <row r="5" spans="1:3" x14ac:dyDescent="0.2">
      <c r="A5" s="2" t="s">
        <v>33</v>
      </c>
      <c r="B5" s="2">
        <v>532</v>
      </c>
    </row>
    <row r="6" spans="1:3" x14ac:dyDescent="0.2">
      <c r="A6" s="2" t="s">
        <v>33</v>
      </c>
      <c r="B6" s="2">
        <v>528</v>
      </c>
    </row>
    <row r="7" spans="1:3" x14ac:dyDescent="0.2">
      <c r="A7" s="2" t="s">
        <v>33</v>
      </c>
      <c r="B7" s="2">
        <v>532</v>
      </c>
    </row>
    <row r="8" spans="1:3" x14ac:dyDescent="0.2">
      <c r="A8" s="2" t="s">
        <v>33</v>
      </c>
      <c r="B8" s="2">
        <v>532</v>
      </c>
    </row>
    <row r="9" spans="1:3" x14ac:dyDescent="0.2">
      <c r="A9" s="2" t="s">
        <v>33</v>
      </c>
      <c r="B9" s="2">
        <v>532</v>
      </c>
    </row>
    <row r="10" spans="1:3" x14ac:dyDescent="0.2">
      <c r="A10" s="2" t="s">
        <v>33</v>
      </c>
      <c r="B10" s="2">
        <v>532</v>
      </c>
    </row>
    <row r="11" spans="1:3" x14ac:dyDescent="0.2">
      <c r="A11" s="2" t="s">
        <v>33</v>
      </c>
      <c r="B11" s="2">
        <v>532</v>
      </c>
    </row>
    <row r="12" spans="1:3" x14ac:dyDescent="0.2">
      <c r="A12" s="2" t="s">
        <v>33</v>
      </c>
      <c r="B12" s="2">
        <v>532</v>
      </c>
    </row>
    <row r="13" spans="1:3" x14ac:dyDescent="0.2">
      <c r="A13" s="2" t="s">
        <v>33</v>
      </c>
      <c r="B13" s="2">
        <v>532</v>
      </c>
    </row>
    <row r="14" spans="1:3" x14ac:dyDescent="0.2">
      <c r="A14" s="2" t="s">
        <v>33</v>
      </c>
      <c r="B14" s="2">
        <v>532</v>
      </c>
    </row>
    <row r="15" spans="1:3" x14ac:dyDescent="0.2">
      <c r="A15" s="2" t="s">
        <v>33</v>
      </c>
      <c r="B15" s="2">
        <v>532</v>
      </c>
    </row>
    <row r="16" spans="1:3" x14ac:dyDescent="0.2">
      <c r="A16" s="2" t="s">
        <v>33</v>
      </c>
      <c r="B16" s="2">
        <v>532</v>
      </c>
    </row>
    <row r="17" spans="1:2" x14ac:dyDescent="0.2">
      <c r="A17" s="2" t="s">
        <v>33</v>
      </c>
      <c r="B17" s="2">
        <v>532</v>
      </c>
    </row>
    <row r="18" spans="1:2" x14ac:dyDescent="0.2">
      <c r="A18" s="2" t="s">
        <v>33</v>
      </c>
      <c r="B18" s="2">
        <v>532</v>
      </c>
    </row>
    <row r="19" spans="1:2" x14ac:dyDescent="0.2">
      <c r="A19" s="2" t="s">
        <v>33</v>
      </c>
      <c r="B19" s="2">
        <v>532</v>
      </c>
    </row>
    <row r="20" spans="1:2" x14ac:dyDescent="0.2">
      <c r="A20" s="2" t="s">
        <v>33</v>
      </c>
      <c r="B20" s="2">
        <v>532</v>
      </c>
    </row>
    <row r="21" spans="1:2" x14ac:dyDescent="0.2">
      <c r="A21" s="2" t="s">
        <v>33</v>
      </c>
      <c r="B21" s="2">
        <v>532</v>
      </c>
    </row>
    <row r="22" spans="1:2" x14ac:dyDescent="0.2">
      <c r="A22" s="2" t="s">
        <v>33</v>
      </c>
      <c r="B22" s="2">
        <v>532</v>
      </c>
    </row>
    <row r="23" spans="1:2" x14ac:dyDescent="0.2">
      <c r="A23" s="2" t="s">
        <v>33</v>
      </c>
      <c r="B23" s="2">
        <v>532</v>
      </c>
    </row>
    <row r="24" spans="1:2" x14ac:dyDescent="0.2">
      <c r="A24" s="2" t="s">
        <v>33</v>
      </c>
      <c r="B24" s="2">
        <v>532</v>
      </c>
    </row>
    <row r="25" spans="1:2" x14ac:dyDescent="0.2">
      <c r="A25" s="2" t="s">
        <v>33</v>
      </c>
      <c r="B25" s="2">
        <v>532</v>
      </c>
    </row>
    <row r="26" spans="1:2" x14ac:dyDescent="0.2">
      <c r="A26" s="2" t="s">
        <v>33</v>
      </c>
      <c r="B26" s="2">
        <v>532</v>
      </c>
    </row>
    <row r="27" spans="1:2" x14ac:dyDescent="0.2">
      <c r="A27" s="2" t="s">
        <v>33</v>
      </c>
      <c r="B27" s="2">
        <v>532</v>
      </c>
    </row>
    <row r="28" spans="1:2" x14ac:dyDescent="0.2">
      <c r="A28" s="2" t="s">
        <v>33</v>
      </c>
      <c r="B28" s="2">
        <v>532</v>
      </c>
    </row>
    <row r="29" spans="1:2" x14ac:dyDescent="0.2">
      <c r="A29" s="2" t="s">
        <v>33</v>
      </c>
      <c r="B29" s="2">
        <v>532</v>
      </c>
    </row>
    <row r="30" spans="1:2" x14ac:dyDescent="0.2">
      <c r="A30" s="2" t="s">
        <v>33</v>
      </c>
      <c r="B30" s="2">
        <v>532</v>
      </c>
    </row>
    <row r="31" spans="1:2" x14ac:dyDescent="0.2">
      <c r="A31" s="2" t="s">
        <v>33</v>
      </c>
      <c r="B31" s="2">
        <v>532</v>
      </c>
    </row>
    <row r="32" spans="1:2" x14ac:dyDescent="0.2">
      <c r="A32" s="2" t="s">
        <v>33</v>
      </c>
      <c r="B32" s="2">
        <v>532</v>
      </c>
    </row>
    <row r="33" spans="1:2" x14ac:dyDescent="0.2">
      <c r="A33" s="2" t="s">
        <v>33</v>
      </c>
      <c r="B33" s="2">
        <v>528</v>
      </c>
    </row>
    <row r="34" spans="1:2" x14ac:dyDescent="0.2">
      <c r="A34" s="2" t="s">
        <v>33</v>
      </c>
      <c r="B34" s="2">
        <v>528</v>
      </c>
    </row>
    <row r="35" spans="1:2" x14ac:dyDescent="0.2">
      <c r="A35" s="2" t="s">
        <v>33</v>
      </c>
      <c r="B35" s="2">
        <v>532</v>
      </c>
    </row>
    <row r="36" spans="1:2" x14ac:dyDescent="0.2">
      <c r="A36" s="2" t="s">
        <v>33</v>
      </c>
      <c r="B36" s="2">
        <v>528</v>
      </c>
    </row>
    <row r="37" spans="1:2" x14ac:dyDescent="0.2">
      <c r="A37" s="2" t="s">
        <v>33</v>
      </c>
      <c r="B37" s="2">
        <v>532</v>
      </c>
    </row>
    <row r="38" spans="1:2" x14ac:dyDescent="0.2">
      <c r="A38" s="2" t="s">
        <v>33</v>
      </c>
      <c r="B38" s="2">
        <v>532</v>
      </c>
    </row>
    <row r="39" spans="1:2" x14ac:dyDescent="0.2">
      <c r="A39" s="2" t="s">
        <v>33</v>
      </c>
      <c r="B39" s="2">
        <v>532</v>
      </c>
    </row>
    <row r="40" spans="1:2" x14ac:dyDescent="0.2">
      <c r="A40" s="2" t="s">
        <v>33</v>
      </c>
      <c r="B40" s="2">
        <v>532</v>
      </c>
    </row>
    <row r="41" spans="1:2" x14ac:dyDescent="0.2">
      <c r="A41" s="2" t="s">
        <v>33</v>
      </c>
      <c r="B41" s="2">
        <v>532</v>
      </c>
    </row>
    <row r="42" spans="1:2" x14ac:dyDescent="0.2">
      <c r="A42" s="2" t="s">
        <v>33</v>
      </c>
      <c r="B42" s="2">
        <v>532</v>
      </c>
    </row>
    <row r="43" spans="1:2" x14ac:dyDescent="0.2">
      <c r="A43" s="2" t="s">
        <v>33</v>
      </c>
      <c r="B43" s="2">
        <v>532</v>
      </c>
    </row>
    <row r="44" spans="1:2" x14ac:dyDescent="0.2">
      <c r="A44" s="2" t="s">
        <v>33</v>
      </c>
      <c r="B44" s="2">
        <v>528</v>
      </c>
    </row>
    <row r="45" spans="1:2" x14ac:dyDescent="0.2">
      <c r="A45" s="2" t="s">
        <v>33</v>
      </c>
      <c r="B45" s="2">
        <v>532</v>
      </c>
    </row>
    <row r="46" spans="1:2" x14ac:dyDescent="0.2">
      <c r="A46" s="2" t="s">
        <v>33</v>
      </c>
      <c r="B46" s="2">
        <v>532</v>
      </c>
    </row>
    <row r="47" spans="1:2" x14ac:dyDescent="0.2">
      <c r="A47" s="2" t="s">
        <v>33</v>
      </c>
      <c r="B47" s="2">
        <v>528</v>
      </c>
    </row>
    <row r="48" spans="1:2" x14ac:dyDescent="0.2">
      <c r="A48" s="2" t="s">
        <v>33</v>
      </c>
      <c r="B48" s="2">
        <v>532</v>
      </c>
    </row>
    <row r="49" spans="1:2" x14ac:dyDescent="0.2">
      <c r="A49" s="2" t="s">
        <v>33</v>
      </c>
      <c r="B49" s="2">
        <v>532</v>
      </c>
    </row>
    <row r="50" spans="1:2" x14ac:dyDescent="0.2">
      <c r="A50" s="2" t="s">
        <v>33</v>
      </c>
      <c r="B50" s="2">
        <v>532</v>
      </c>
    </row>
    <row r="51" spans="1:2" x14ac:dyDescent="0.2">
      <c r="A51" s="2" t="s">
        <v>33</v>
      </c>
      <c r="B51" s="2">
        <v>532</v>
      </c>
    </row>
    <row r="52" spans="1:2" x14ac:dyDescent="0.2">
      <c r="A52" s="2" t="s">
        <v>33</v>
      </c>
      <c r="B52" s="2">
        <v>532</v>
      </c>
    </row>
    <row r="53" spans="1:2" x14ac:dyDescent="0.2">
      <c r="A53" s="2" t="s">
        <v>33</v>
      </c>
      <c r="B53" s="2">
        <v>532</v>
      </c>
    </row>
    <row r="54" spans="1:2" x14ac:dyDescent="0.2">
      <c r="A54" s="2" t="s">
        <v>33</v>
      </c>
      <c r="B54" s="2">
        <v>532</v>
      </c>
    </row>
    <row r="55" spans="1:2" x14ac:dyDescent="0.2">
      <c r="A55" s="2" t="s">
        <v>33</v>
      </c>
      <c r="B55" s="2">
        <v>532</v>
      </c>
    </row>
    <row r="56" spans="1:2" x14ac:dyDescent="0.2">
      <c r="A56" s="2" t="s">
        <v>33</v>
      </c>
      <c r="B56" s="2">
        <v>532</v>
      </c>
    </row>
    <row r="57" spans="1:2" x14ac:dyDescent="0.2">
      <c r="A57" s="2" t="s">
        <v>33</v>
      </c>
      <c r="B57" s="2">
        <v>528</v>
      </c>
    </row>
    <row r="58" spans="1:2" x14ac:dyDescent="0.2">
      <c r="A58" s="2" t="s">
        <v>33</v>
      </c>
      <c r="B58" s="2">
        <v>532</v>
      </c>
    </row>
    <row r="59" spans="1:2" x14ac:dyDescent="0.2">
      <c r="A59" s="2" t="s">
        <v>33</v>
      </c>
      <c r="B59" s="2">
        <v>532</v>
      </c>
    </row>
    <row r="60" spans="1:2" x14ac:dyDescent="0.2">
      <c r="A60" s="2" t="s">
        <v>33</v>
      </c>
      <c r="B60" s="2">
        <v>532</v>
      </c>
    </row>
    <row r="61" spans="1:2" x14ac:dyDescent="0.2">
      <c r="A61" s="2" t="s">
        <v>33</v>
      </c>
      <c r="B61" s="2">
        <v>532</v>
      </c>
    </row>
    <row r="62" spans="1:2" x14ac:dyDescent="0.2">
      <c r="A62" s="2" t="s">
        <v>33</v>
      </c>
      <c r="B62" s="2">
        <v>532</v>
      </c>
    </row>
    <row r="63" spans="1:2" x14ac:dyDescent="0.2">
      <c r="A63" s="2" t="s">
        <v>33</v>
      </c>
      <c r="B63" s="2">
        <v>532</v>
      </c>
    </row>
    <row r="64" spans="1:2" x14ac:dyDescent="0.2">
      <c r="A64" s="2" t="s">
        <v>33</v>
      </c>
      <c r="B64" s="2">
        <v>532</v>
      </c>
    </row>
    <row r="65" spans="1:2" x14ac:dyDescent="0.2">
      <c r="A65" s="2" t="s">
        <v>33</v>
      </c>
      <c r="B65" s="2">
        <v>532</v>
      </c>
    </row>
    <row r="66" spans="1:2" x14ac:dyDescent="0.2">
      <c r="A66" s="2" t="s">
        <v>33</v>
      </c>
      <c r="B66" s="2">
        <v>532</v>
      </c>
    </row>
    <row r="67" spans="1:2" x14ac:dyDescent="0.2">
      <c r="A67" s="2" t="s">
        <v>33</v>
      </c>
      <c r="B67" s="2">
        <v>528</v>
      </c>
    </row>
    <row r="68" spans="1:2" x14ac:dyDescent="0.2">
      <c r="A68" s="2" t="s">
        <v>33</v>
      </c>
      <c r="B68" s="2">
        <v>532</v>
      </c>
    </row>
    <row r="69" spans="1:2" x14ac:dyDescent="0.2">
      <c r="A69" s="2" t="s">
        <v>33</v>
      </c>
      <c r="B69" s="2">
        <v>532</v>
      </c>
    </row>
    <row r="70" spans="1:2" x14ac:dyDescent="0.2">
      <c r="A70" s="2" t="s">
        <v>33</v>
      </c>
      <c r="B70" s="2">
        <v>532</v>
      </c>
    </row>
    <row r="71" spans="1:2" x14ac:dyDescent="0.2">
      <c r="A71" s="2" t="s">
        <v>33</v>
      </c>
      <c r="B71" s="2">
        <v>532</v>
      </c>
    </row>
    <row r="72" spans="1:2" x14ac:dyDescent="0.2">
      <c r="A72" s="2" t="s">
        <v>33</v>
      </c>
      <c r="B72" s="2">
        <v>528</v>
      </c>
    </row>
    <row r="73" spans="1:2" x14ac:dyDescent="0.2">
      <c r="A73" s="2" t="s">
        <v>33</v>
      </c>
      <c r="B73" s="2">
        <v>532</v>
      </c>
    </row>
    <row r="74" spans="1:2" x14ac:dyDescent="0.2">
      <c r="A74" s="2" t="s">
        <v>33</v>
      </c>
      <c r="B74" s="2">
        <v>532</v>
      </c>
    </row>
    <row r="75" spans="1:2" x14ac:dyDescent="0.2">
      <c r="A75" s="2" t="s">
        <v>33</v>
      </c>
      <c r="B75" s="2">
        <v>528</v>
      </c>
    </row>
    <row r="76" spans="1:2" x14ac:dyDescent="0.2">
      <c r="A76" s="2" t="s">
        <v>33</v>
      </c>
      <c r="B76" s="2">
        <v>532</v>
      </c>
    </row>
    <row r="77" spans="1:2" x14ac:dyDescent="0.2">
      <c r="A77" s="2" t="s">
        <v>33</v>
      </c>
      <c r="B77" s="2">
        <v>528</v>
      </c>
    </row>
    <row r="78" spans="1:2" x14ac:dyDescent="0.2">
      <c r="A78" s="2" t="s">
        <v>33</v>
      </c>
      <c r="B78" s="2">
        <v>532</v>
      </c>
    </row>
    <row r="79" spans="1:2" x14ac:dyDescent="0.2">
      <c r="A79" s="2" t="s">
        <v>33</v>
      </c>
      <c r="B79" s="2">
        <v>532</v>
      </c>
    </row>
    <row r="80" spans="1:2" x14ac:dyDescent="0.2">
      <c r="A80" s="2" t="s">
        <v>33</v>
      </c>
      <c r="B80" s="2">
        <v>532</v>
      </c>
    </row>
    <row r="81" spans="1:2" x14ac:dyDescent="0.2">
      <c r="A81" s="2" t="s">
        <v>33</v>
      </c>
      <c r="B81" s="2">
        <v>532</v>
      </c>
    </row>
    <row r="82" spans="1:2" x14ac:dyDescent="0.2">
      <c r="A82" s="2" t="s">
        <v>33</v>
      </c>
      <c r="B82" s="2">
        <v>532</v>
      </c>
    </row>
    <row r="83" spans="1:2" x14ac:dyDescent="0.2">
      <c r="A83" s="2" t="s">
        <v>33</v>
      </c>
      <c r="B83" s="2">
        <v>532</v>
      </c>
    </row>
    <row r="84" spans="1:2" x14ac:dyDescent="0.2">
      <c r="A84" s="2" t="s">
        <v>33</v>
      </c>
      <c r="B84" s="2">
        <v>532</v>
      </c>
    </row>
    <row r="85" spans="1:2" x14ac:dyDescent="0.2">
      <c r="A85" s="2" t="s">
        <v>33</v>
      </c>
      <c r="B85" s="2">
        <v>532</v>
      </c>
    </row>
    <row r="86" spans="1:2" x14ac:dyDescent="0.2">
      <c r="A86" s="2" t="s">
        <v>33</v>
      </c>
      <c r="B86" s="2">
        <v>532</v>
      </c>
    </row>
    <row r="87" spans="1:2" x14ac:dyDescent="0.2">
      <c r="A87" s="2" t="s">
        <v>33</v>
      </c>
      <c r="B87" s="2">
        <v>532</v>
      </c>
    </row>
    <row r="88" spans="1:2" x14ac:dyDescent="0.2">
      <c r="A88" s="2" t="s">
        <v>33</v>
      </c>
      <c r="B88" s="2">
        <v>532</v>
      </c>
    </row>
    <row r="89" spans="1:2" x14ac:dyDescent="0.2">
      <c r="A89" s="2" t="s">
        <v>33</v>
      </c>
      <c r="B89" s="2">
        <v>532</v>
      </c>
    </row>
    <row r="90" spans="1:2" x14ac:dyDescent="0.2">
      <c r="A90" s="2" t="s">
        <v>33</v>
      </c>
      <c r="B90" s="2">
        <v>532</v>
      </c>
    </row>
    <row r="91" spans="1:2" x14ac:dyDescent="0.2">
      <c r="A91" s="2" t="s">
        <v>33</v>
      </c>
      <c r="B91" s="2">
        <v>532</v>
      </c>
    </row>
    <row r="92" spans="1:2" x14ac:dyDescent="0.2">
      <c r="A92" s="2" t="s">
        <v>33</v>
      </c>
      <c r="B92" s="2">
        <v>532</v>
      </c>
    </row>
    <row r="93" spans="1:2" x14ac:dyDescent="0.2">
      <c r="A93" s="2" t="s">
        <v>33</v>
      </c>
      <c r="B93" s="2">
        <v>532</v>
      </c>
    </row>
    <row r="94" spans="1:2" x14ac:dyDescent="0.2">
      <c r="A94" s="2" t="s">
        <v>33</v>
      </c>
      <c r="B94" s="2">
        <v>532</v>
      </c>
    </row>
    <row r="95" spans="1:2" x14ac:dyDescent="0.2">
      <c r="A95" s="2" t="s">
        <v>33</v>
      </c>
      <c r="B95" s="2">
        <v>532</v>
      </c>
    </row>
    <row r="96" spans="1:2" x14ac:dyDescent="0.2">
      <c r="A96" s="2" t="s">
        <v>33</v>
      </c>
      <c r="B96" s="2">
        <v>532</v>
      </c>
    </row>
    <row r="97" spans="1:3" x14ac:dyDescent="0.2">
      <c r="A97" s="2" t="s">
        <v>33</v>
      </c>
      <c r="B97" s="2">
        <v>528</v>
      </c>
    </row>
    <row r="98" spans="1:3" x14ac:dyDescent="0.2">
      <c r="A98" s="2" t="s">
        <v>33</v>
      </c>
      <c r="B98" s="2">
        <v>532</v>
      </c>
    </row>
    <row r="99" spans="1:3" x14ac:dyDescent="0.2">
      <c r="A99" s="2" t="s">
        <v>33</v>
      </c>
      <c r="B99" s="2">
        <v>532</v>
      </c>
    </row>
    <row r="100" spans="1:3" x14ac:dyDescent="0.2">
      <c r="A100" s="2" t="s">
        <v>33</v>
      </c>
      <c r="B100" s="2">
        <v>532</v>
      </c>
    </row>
    <row r="101" spans="1:3" x14ac:dyDescent="0.2">
      <c r="A101" s="2" t="s">
        <v>33</v>
      </c>
      <c r="B101" s="2">
        <v>532</v>
      </c>
    </row>
    <row r="102" spans="1:3" x14ac:dyDescent="0.2">
      <c r="A102" s="2" t="s">
        <v>33</v>
      </c>
      <c r="B102" s="2">
        <v>532</v>
      </c>
    </row>
    <row r="103" spans="1:3" x14ac:dyDescent="0.2">
      <c r="A103" s="2" t="s">
        <v>33</v>
      </c>
      <c r="B103" s="2">
        <v>532</v>
      </c>
    </row>
    <row r="104" spans="1:3" x14ac:dyDescent="0.2">
      <c r="A104" s="2"/>
      <c r="B104" s="2">
        <f>AVERAGE(B4:B103)</f>
        <v>531.48</v>
      </c>
      <c r="C104" s="1">
        <f>B104/C1</f>
        <v>0.88580000000000003</v>
      </c>
    </row>
    <row r="105" spans="1:3" x14ac:dyDescent="0.2">
      <c r="A105" s="2"/>
      <c r="B105" s="2"/>
    </row>
    <row r="106" spans="1:3" x14ac:dyDescent="0.2">
      <c r="A106" s="2"/>
      <c r="B106" s="2"/>
    </row>
    <row r="107" spans="1:3" x14ac:dyDescent="0.2">
      <c r="A107" s="2"/>
      <c r="B107" s="2"/>
    </row>
    <row r="108" spans="1:3" x14ac:dyDescent="0.2">
      <c r="A108" s="2" t="s">
        <v>34</v>
      </c>
      <c r="B108" s="2">
        <v>532</v>
      </c>
    </row>
    <row r="109" spans="1:3" x14ac:dyDescent="0.2">
      <c r="A109" s="2" t="s">
        <v>34</v>
      </c>
      <c r="B109" s="2">
        <v>528</v>
      </c>
    </row>
    <row r="110" spans="1:3" x14ac:dyDescent="0.2">
      <c r="A110" s="2" t="s">
        <v>34</v>
      </c>
      <c r="B110" s="2">
        <v>532</v>
      </c>
    </row>
    <row r="111" spans="1:3" x14ac:dyDescent="0.2">
      <c r="A111" s="2" t="s">
        <v>34</v>
      </c>
      <c r="B111" s="2">
        <v>532</v>
      </c>
    </row>
    <row r="112" spans="1:3" x14ac:dyDescent="0.2">
      <c r="A112" s="2" t="s">
        <v>34</v>
      </c>
      <c r="B112" s="2">
        <v>528</v>
      </c>
    </row>
    <row r="113" spans="1:2" x14ac:dyDescent="0.2">
      <c r="A113" s="2" t="s">
        <v>34</v>
      </c>
      <c r="B113" s="2">
        <v>528</v>
      </c>
    </row>
    <row r="114" spans="1:2" x14ac:dyDescent="0.2">
      <c r="A114" s="2" t="s">
        <v>34</v>
      </c>
      <c r="B114" s="2">
        <v>532</v>
      </c>
    </row>
    <row r="115" spans="1:2" x14ac:dyDescent="0.2">
      <c r="A115" s="2" t="s">
        <v>34</v>
      </c>
      <c r="B115" s="2">
        <v>532</v>
      </c>
    </row>
    <row r="116" spans="1:2" x14ac:dyDescent="0.2">
      <c r="A116" s="2" t="s">
        <v>34</v>
      </c>
      <c r="B116" s="2">
        <v>528</v>
      </c>
    </row>
    <row r="117" spans="1:2" x14ac:dyDescent="0.2">
      <c r="A117" s="2" t="s">
        <v>34</v>
      </c>
      <c r="B117" s="2">
        <v>532</v>
      </c>
    </row>
    <row r="118" spans="1:2" x14ac:dyDescent="0.2">
      <c r="A118" s="2" t="s">
        <v>34</v>
      </c>
      <c r="B118" s="2">
        <v>532</v>
      </c>
    </row>
    <row r="119" spans="1:2" x14ac:dyDescent="0.2">
      <c r="A119" s="2" t="s">
        <v>34</v>
      </c>
      <c r="B119" s="2">
        <v>532</v>
      </c>
    </row>
    <row r="120" spans="1:2" x14ac:dyDescent="0.2">
      <c r="A120" s="2" t="s">
        <v>34</v>
      </c>
      <c r="B120" s="2">
        <v>532</v>
      </c>
    </row>
    <row r="121" spans="1:2" x14ac:dyDescent="0.2">
      <c r="A121" s="2" t="s">
        <v>34</v>
      </c>
      <c r="B121" s="2">
        <v>532</v>
      </c>
    </row>
    <row r="122" spans="1:2" x14ac:dyDescent="0.2">
      <c r="A122" s="2" t="s">
        <v>34</v>
      </c>
      <c r="B122" s="2">
        <v>532</v>
      </c>
    </row>
    <row r="123" spans="1:2" x14ac:dyDescent="0.2">
      <c r="A123" s="2" t="s">
        <v>34</v>
      </c>
      <c r="B123" s="2">
        <v>532</v>
      </c>
    </row>
    <row r="124" spans="1:2" x14ac:dyDescent="0.2">
      <c r="A124" s="2" t="s">
        <v>34</v>
      </c>
      <c r="B124" s="2">
        <v>532</v>
      </c>
    </row>
    <row r="125" spans="1:2" x14ac:dyDescent="0.2">
      <c r="A125" s="2" t="s">
        <v>34</v>
      </c>
      <c r="B125" s="2">
        <v>532</v>
      </c>
    </row>
    <row r="126" spans="1:2" x14ac:dyDescent="0.2">
      <c r="A126" s="2" t="s">
        <v>34</v>
      </c>
      <c r="B126" s="2">
        <v>532</v>
      </c>
    </row>
    <row r="127" spans="1:2" x14ac:dyDescent="0.2">
      <c r="A127" s="2" t="s">
        <v>34</v>
      </c>
      <c r="B127" s="2">
        <v>532</v>
      </c>
    </row>
    <row r="128" spans="1:2" x14ac:dyDescent="0.2">
      <c r="A128" s="2" t="s">
        <v>34</v>
      </c>
      <c r="B128" s="2">
        <v>532</v>
      </c>
    </row>
    <row r="129" spans="1:2" x14ac:dyDescent="0.2">
      <c r="A129" s="2" t="s">
        <v>34</v>
      </c>
      <c r="B129" s="2">
        <v>532</v>
      </c>
    </row>
    <row r="130" spans="1:2" x14ac:dyDescent="0.2">
      <c r="A130" s="2" t="s">
        <v>34</v>
      </c>
      <c r="B130" s="2">
        <v>532</v>
      </c>
    </row>
    <row r="131" spans="1:2" x14ac:dyDescent="0.2">
      <c r="A131" s="2" t="s">
        <v>34</v>
      </c>
      <c r="B131" s="2">
        <v>532</v>
      </c>
    </row>
    <row r="132" spans="1:2" x14ac:dyDescent="0.2">
      <c r="A132" s="2" t="s">
        <v>34</v>
      </c>
      <c r="B132" s="2">
        <v>532</v>
      </c>
    </row>
    <row r="133" spans="1:2" x14ac:dyDescent="0.2">
      <c r="A133" s="2" t="s">
        <v>34</v>
      </c>
      <c r="B133" s="2">
        <v>532</v>
      </c>
    </row>
    <row r="134" spans="1:2" x14ac:dyDescent="0.2">
      <c r="A134" s="2" t="s">
        <v>34</v>
      </c>
      <c r="B134" s="2">
        <v>532</v>
      </c>
    </row>
    <row r="135" spans="1:2" x14ac:dyDescent="0.2">
      <c r="A135" s="2" t="s">
        <v>34</v>
      </c>
      <c r="B135" s="2">
        <v>528</v>
      </c>
    </row>
    <row r="136" spans="1:2" x14ac:dyDescent="0.2">
      <c r="A136" s="2" t="s">
        <v>34</v>
      </c>
      <c r="B136" s="2">
        <v>532</v>
      </c>
    </row>
    <row r="137" spans="1:2" x14ac:dyDescent="0.2">
      <c r="A137" s="2" t="s">
        <v>34</v>
      </c>
      <c r="B137" s="2">
        <v>532</v>
      </c>
    </row>
    <row r="138" spans="1:2" x14ac:dyDescent="0.2">
      <c r="A138" s="2" t="s">
        <v>34</v>
      </c>
      <c r="B138" s="2">
        <v>532</v>
      </c>
    </row>
    <row r="139" spans="1:2" x14ac:dyDescent="0.2">
      <c r="A139" s="2" t="s">
        <v>34</v>
      </c>
      <c r="B139" s="2">
        <v>532</v>
      </c>
    </row>
    <row r="140" spans="1:2" x14ac:dyDescent="0.2">
      <c r="A140" s="2" t="s">
        <v>34</v>
      </c>
      <c r="B140" s="2">
        <v>532</v>
      </c>
    </row>
    <row r="141" spans="1:2" x14ac:dyDescent="0.2">
      <c r="A141" s="2" t="s">
        <v>34</v>
      </c>
      <c r="B141" s="2">
        <v>528</v>
      </c>
    </row>
    <row r="142" spans="1:2" x14ac:dyDescent="0.2">
      <c r="A142" s="2" t="s">
        <v>34</v>
      </c>
      <c r="B142" s="2">
        <v>532</v>
      </c>
    </row>
    <row r="143" spans="1:2" x14ac:dyDescent="0.2">
      <c r="A143" s="2" t="s">
        <v>34</v>
      </c>
      <c r="B143" s="2">
        <v>532</v>
      </c>
    </row>
    <row r="144" spans="1:2" x14ac:dyDescent="0.2">
      <c r="A144" s="2" t="s">
        <v>34</v>
      </c>
      <c r="B144" s="2">
        <v>532</v>
      </c>
    </row>
    <row r="145" spans="1:2" x14ac:dyDescent="0.2">
      <c r="A145" s="2" t="s">
        <v>34</v>
      </c>
      <c r="B145" s="2">
        <v>532</v>
      </c>
    </row>
    <row r="146" spans="1:2" x14ac:dyDescent="0.2">
      <c r="A146" s="2" t="s">
        <v>34</v>
      </c>
      <c r="B146" s="2">
        <v>532</v>
      </c>
    </row>
    <row r="147" spans="1:2" x14ac:dyDescent="0.2">
      <c r="A147" s="2" t="s">
        <v>34</v>
      </c>
      <c r="B147" s="2">
        <v>528</v>
      </c>
    </row>
    <row r="148" spans="1:2" x14ac:dyDescent="0.2">
      <c r="A148" s="2" t="s">
        <v>34</v>
      </c>
      <c r="B148" s="2">
        <v>532</v>
      </c>
    </row>
    <row r="149" spans="1:2" x14ac:dyDescent="0.2">
      <c r="A149" s="2" t="s">
        <v>34</v>
      </c>
      <c r="B149" s="2">
        <v>532</v>
      </c>
    </row>
    <row r="150" spans="1:2" x14ac:dyDescent="0.2">
      <c r="A150" s="2" t="s">
        <v>34</v>
      </c>
      <c r="B150" s="2">
        <v>532</v>
      </c>
    </row>
    <row r="151" spans="1:2" x14ac:dyDescent="0.2">
      <c r="A151" s="2" t="s">
        <v>34</v>
      </c>
      <c r="B151" s="2">
        <v>532</v>
      </c>
    </row>
    <row r="152" spans="1:2" x14ac:dyDescent="0.2">
      <c r="A152" s="2" t="s">
        <v>34</v>
      </c>
      <c r="B152" s="2">
        <v>532</v>
      </c>
    </row>
    <row r="153" spans="1:2" x14ac:dyDescent="0.2">
      <c r="A153" s="2" t="s">
        <v>34</v>
      </c>
      <c r="B153" s="2">
        <v>532</v>
      </c>
    </row>
    <row r="154" spans="1:2" x14ac:dyDescent="0.2">
      <c r="A154" s="2" t="s">
        <v>34</v>
      </c>
      <c r="B154" s="2">
        <v>532</v>
      </c>
    </row>
    <row r="155" spans="1:2" x14ac:dyDescent="0.2">
      <c r="A155" s="2" t="s">
        <v>34</v>
      </c>
      <c r="B155" s="2">
        <v>528</v>
      </c>
    </row>
    <row r="156" spans="1:2" x14ac:dyDescent="0.2">
      <c r="A156" s="2" t="s">
        <v>34</v>
      </c>
      <c r="B156" s="2">
        <v>532</v>
      </c>
    </row>
    <row r="157" spans="1:2" x14ac:dyDescent="0.2">
      <c r="A157" s="2" t="s">
        <v>34</v>
      </c>
      <c r="B157" s="2">
        <v>532</v>
      </c>
    </row>
    <row r="158" spans="1:2" x14ac:dyDescent="0.2">
      <c r="A158" s="2" t="s">
        <v>34</v>
      </c>
      <c r="B158" s="2">
        <v>532</v>
      </c>
    </row>
    <row r="159" spans="1:2" x14ac:dyDescent="0.2">
      <c r="A159" s="2" t="s">
        <v>34</v>
      </c>
      <c r="B159" s="2">
        <v>532</v>
      </c>
    </row>
    <row r="160" spans="1:2" x14ac:dyDescent="0.2">
      <c r="A160" s="2" t="s">
        <v>34</v>
      </c>
      <c r="B160" s="2">
        <v>532</v>
      </c>
    </row>
    <row r="161" spans="1:2" x14ac:dyDescent="0.2">
      <c r="A161" s="2" t="s">
        <v>34</v>
      </c>
      <c r="B161" s="2">
        <v>532</v>
      </c>
    </row>
    <row r="162" spans="1:2" x14ac:dyDescent="0.2">
      <c r="A162" s="2" t="s">
        <v>34</v>
      </c>
      <c r="B162" s="2">
        <v>532</v>
      </c>
    </row>
    <row r="163" spans="1:2" x14ac:dyDescent="0.2">
      <c r="A163" s="2" t="s">
        <v>34</v>
      </c>
      <c r="B163" s="2">
        <v>532</v>
      </c>
    </row>
    <row r="164" spans="1:2" x14ac:dyDescent="0.2">
      <c r="A164" s="2" t="s">
        <v>34</v>
      </c>
      <c r="B164" s="2">
        <v>532</v>
      </c>
    </row>
    <row r="165" spans="1:2" x14ac:dyDescent="0.2">
      <c r="A165" s="2" t="s">
        <v>34</v>
      </c>
      <c r="B165" s="2">
        <v>532</v>
      </c>
    </row>
    <row r="166" spans="1:2" x14ac:dyDescent="0.2">
      <c r="A166" s="2" t="s">
        <v>34</v>
      </c>
      <c r="B166" s="2">
        <v>532</v>
      </c>
    </row>
    <row r="167" spans="1:2" x14ac:dyDescent="0.2">
      <c r="A167" s="2" t="s">
        <v>34</v>
      </c>
      <c r="B167" s="2">
        <v>532</v>
      </c>
    </row>
    <row r="168" spans="1:2" x14ac:dyDescent="0.2">
      <c r="A168" s="2" t="s">
        <v>34</v>
      </c>
      <c r="B168" s="2">
        <v>532</v>
      </c>
    </row>
    <row r="169" spans="1:2" x14ac:dyDescent="0.2">
      <c r="A169" s="2" t="s">
        <v>34</v>
      </c>
      <c r="B169" s="2">
        <v>532</v>
      </c>
    </row>
    <row r="170" spans="1:2" x14ac:dyDescent="0.2">
      <c r="A170" s="2" t="s">
        <v>34</v>
      </c>
      <c r="B170" s="2">
        <v>532</v>
      </c>
    </row>
    <row r="171" spans="1:2" x14ac:dyDescent="0.2">
      <c r="A171" s="2" t="s">
        <v>34</v>
      </c>
      <c r="B171" s="2">
        <v>532</v>
      </c>
    </row>
    <row r="172" spans="1:2" x14ac:dyDescent="0.2">
      <c r="A172" s="2" t="s">
        <v>34</v>
      </c>
      <c r="B172" s="2">
        <v>532</v>
      </c>
    </row>
    <row r="173" spans="1:2" x14ac:dyDescent="0.2">
      <c r="A173" s="2" t="s">
        <v>34</v>
      </c>
      <c r="B173" s="2">
        <v>532</v>
      </c>
    </row>
    <row r="174" spans="1:2" x14ac:dyDescent="0.2">
      <c r="A174" s="2" t="s">
        <v>34</v>
      </c>
      <c r="B174" s="2">
        <v>532</v>
      </c>
    </row>
    <row r="175" spans="1:2" x14ac:dyDescent="0.2">
      <c r="A175" s="2" t="s">
        <v>34</v>
      </c>
      <c r="B175" s="2">
        <v>532</v>
      </c>
    </row>
    <row r="176" spans="1:2" x14ac:dyDescent="0.2">
      <c r="A176" s="2" t="s">
        <v>34</v>
      </c>
      <c r="B176" s="2">
        <v>532</v>
      </c>
    </row>
    <row r="177" spans="1:2" x14ac:dyDescent="0.2">
      <c r="A177" s="2" t="s">
        <v>34</v>
      </c>
      <c r="B177" s="2">
        <v>532</v>
      </c>
    </row>
    <row r="178" spans="1:2" x14ac:dyDescent="0.2">
      <c r="A178" s="2" t="s">
        <v>34</v>
      </c>
      <c r="B178" s="2">
        <v>532</v>
      </c>
    </row>
    <row r="179" spans="1:2" x14ac:dyDescent="0.2">
      <c r="A179" s="2" t="s">
        <v>34</v>
      </c>
      <c r="B179" s="2">
        <v>532</v>
      </c>
    </row>
    <row r="180" spans="1:2" x14ac:dyDescent="0.2">
      <c r="A180" s="2" t="s">
        <v>34</v>
      </c>
      <c r="B180" s="2">
        <v>532</v>
      </c>
    </row>
    <row r="181" spans="1:2" x14ac:dyDescent="0.2">
      <c r="A181" s="2" t="s">
        <v>34</v>
      </c>
      <c r="B181" s="2">
        <v>532</v>
      </c>
    </row>
    <row r="182" spans="1:2" x14ac:dyDescent="0.2">
      <c r="A182" s="2" t="s">
        <v>34</v>
      </c>
      <c r="B182" s="2">
        <v>532</v>
      </c>
    </row>
    <row r="183" spans="1:2" x14ac:dyDescent="0.2">
      <c r="A183" s="2" t="s">
        <v>34</v>
      </c>
      <c r="B183" s="2">
        <v>532</v>
      </c>
    </row>
    <row r="184" spans="1:2" x14ac:dyDescent="0.2">
      <c r="A184" s="2" t="s">
        <v>34</v>
      </c>
      <c r="B184" s="2">
        <v>532</v>
      </c>
    </row>
    <row r="185" spans="1:2" x14ac:dyDescent="0.2">
      <c r="A185" s="2" t="s">
        <v>34</v>
      </c>
      <c r="B185" s="2">
        <v>532</v>
      </c>
    </row>
    <row r="186" spans="1:2" x14ac:dyDescent="0.2">
      <c r="A186" s="2" t="s">
        <v>34</v>
      </c>
      <c r="B186" s="2">
        <v>532</v>
      </c>
    </row>
    <row r="187" spans="1:2" x14ac:dyDescent="0.2">
      <c r="A187" s="2" t="s">
        <v>34</v>
      </c>
      <c r="B187" s="2">
        <v>532</v>
      </c>
    </row>
    <row r="188" spans="1:2" x14ac:dyDescent="0.2">
      <c r="A188" s="2" t="s">
        <v>34</v>
      </c>
      <c r="B188" s="2">
        <v>532</v>
      </c>
    </row>
    <row r="189" spans="1:2" x14ac:dyDescent="0.2">
      <c r="A189" s="2" t="s">
        <v>34</v>
      </c>
      <c r="B189" s="2">
        <v>532</v>
      </c>
    </row>
    <row r="190" spans="1:2" x14ac:dyDescent="0.2">
      <c r="A190" s="2" t="s">
        <v>34</v>
      </c>
      <c r="B190" s="2">
        <v>532</v>
      </c>
    </row>
    <row r="191" spans="1:2" x14ac:dyDescent="0.2">
      <c r="A191" s="2" t="s">
        <v>34</v>
      </c>
      <c r="B191" s="2">
        <v>532</v>
      </c>
    </row>
    <row r="192" spans="1:2" x14ac:dyDescent="0.2">
      <c r="A192" s="2" t="s">
        <v>34</v>
      </c>
      <c r="B192" s="2">
        <v>532</v>
      </c>
    </row>
    <row r="193" spans="1:3" x14ac:dyDescent="0.2">
      <c r="A193" s="2" t="s">
        <v>34</v>
      </c>
      <c r="B193" s="2">
        <v>532</v>
      </c>
    </row>
    <row r="194" spans="1:3" x14ac:dyDescent="0.2">
      <c r="A194" s="2" t="s">
        <v>34</v>
      </c>
      <c r="B194" s="2">
        <v>532</v>
      </c>
    </row>
    <row r="195" spans="1:3" x14ac:dyDescent="0.2">
      <c r="A195" s="2" t="s">
        <v>34</v>
      </c>
      <c r="B195" s="2">
        <v>532</v>
      </c>
    </row>
    <row r="196" spans="1:3" x14ac:dyDescent="0.2">
      <c r="A196" s="2" t="s">
        <v>34</v>
      </c>
      <c r="B196" s="2">
        <v>532</v>
      </c>
    </row>
    <row r="197" spans="1:3" x14ac:dyDescent="0.2">
      <c r="A197" s="2" t="s">
        <v>34</v>
      </c>
      <c r="B197" s="2">
        <v>532</v>
      </c>
    </row>
    <row r="198" spans="1:3" x14ac:dyDescent="0.2">
      <c r="A198" s="2" t="s">
        <v>34</v>
      </c>
      <c r="B198" s="2">
        <v>532</v>
      </c>
    </row>
    <row r="199" spans="1:3" x14ac:dyDescent="0.2">
      <c r="A199" s="2" t="s">
        <v>34</v>
      </c>
      <c r="B199" s="2">
        <v>532</v>
      </c>
    </row>
    <row r="200" spans="1:3" x14ac:dyDescent="0.2">
      <c r="A200" s="2" t="s">
        <v>34</v>
      </c>
      <c r="B200" s="2">
        <v>528</v>
      </c>
    </row>
    <row r="201" spans="1:3" x14ac:dyDescent="0.2">
      <c r="A201" s="2" t="s">
        <v>34</v>
      </c>
      <c r="B201" s="2">
        <v>532</v>
      </c>
    </row>
    <row r="202" spans="1:3" x14ac:dyDescent="0.2">
      <c r="A202" s="2" t="s">
        <v>34</v>
      </c>
      <c r="B202" s="2">
        <v>532</v>
      </c>
    </row>
    <row r="203" spans="1:3" x14ac:dyDescent="0.2">
      <c r="A203" s="2" t="s">
        <v>34</v>
      </c>
      <c r="B203" s="2">
        <v>528</v>
      </c>
    </row>
    <row r="204" spans="1:3" x14ac:dyDescent="0.2">
      <c r="A204" s="2" t="s">
        <v>34</v>
      </c>
      <c r="B204" s="2">
        <v>532</v>
      </c>
    </row>
    <row r="205" spans="1:3" x14ac:dyDescent="0.2">
      <c r="A205" s="2" t="s">
        <v>34</v>
      </c>
      <c r="B205" s="2">
        <v>532</v>
      </c>
    </row>
    <row r="206" spans="1:3" x14ac:dyDescent="0.2">
      <c r="A206" s="2" t="s">
        <v>34</v>
      </c>
      <c r="B206" s="2">
        <v>532</v>
      </c>
    </row>
    <row r="207" spans="1:3" x14ac:dyDescent="0.2">
      <c r="A207" s="2" t="s">
        <v>34</v>
      </c>
      <c r="B207" s="2">
        <v>532</v>
      </c>
    </row>
    <row r="208" spans="1:3" x14ac:dyDescent="0.2">
      <c r="A208" s="2"/>
      <c r="B208" s="2">
        <f>AVERAGE(B108:B207)</f>
        <v>531.6</v>
      </c>
      <c r="C208" s="1">
        <f>B208/C1</f>
        <v>0.88600000000000001</v>
      </c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 t="s">
        <v>35</v>
      </c>
      <c r="B211" s="2">
        <v>532</v>
      </c>
    </row>
    <row r="212" spans="1:2" x14ac:dyDescent="0.2">
      <c r="A212" s="2" t="s">
        <v>35</v>
      </c>
      <c r="B212" s="2">
        <v>532</v>
      </c>
    </row>
    <row r="213" spans="1:2" x14ac:dyDescent="0.2">
      <c r="A213" s="2" t="s">
        <v>35</v>
      </c>
      <c r="B213" s="2">
        <v>532</v>
      </c>
    </row>
    <row r="214" spans="1:2" x14ac:dyDescent="0.2">
      <c r="A214" s="2" t="s">
        <v>35</v>
      </c>
      <c r="B214" s="2">
        <v>528</v>
      </c>
    </row>
    <row r="215" spans="1:2" x14ac:dyDescent="0.2">
      <c r="A215" s="2" t="s">
        <v>35</v>
      </c>
      <c r="B215" s="2">
        <v>532</v>
      </c>
    </row>
    <row r="216" spans="1:2" x14ac:dyDescent="0.2">
      <c r="A216" s="2" t="s">
        <v>35</v>
      </c>
      <c r="B216" s="2">
        <v>532</v>
      </c>
    </row>
    <row r="217" spans="1:2" x14ac:dyDescent="0.2">
      <c r="A217" s="2" t="s">
        <v>35</v>
      </c>
      <c r="B217" s="2">
        <v>532</v>
      </c>
    </row>
    <row r="218" spans="1:2" x14ac:dyDescent="0.2">
      <c r="A218" s="2" t="s">
        <v>35</v>
      </c>
      <c r="B218" s="2">
        <v>532</v>
      </c>
    </row>
    <row r="219" spans="1:2" x14ac:dyDescent="0.2">
      <c r="A219" s="2" t="s">
        <v>35</v>
      </c>
      <c r="B219" s="2">
        <v>532</v>
      </c>
    </row>
    <row r="220" spans="1:2" x14ac:dyDescent="0.2">
      <c r="A220" s="2" t="s">
        <v>35</v>
      </c>
      <c r="B220" s="2">
        <v>528</v>
      </c>
    </row>
    <row r="221" spans="1:2" x14ac:dyDescent="0.2">
      <c r="A221" s="2" t="s">
        <v>35</v>
      </c>
      <c r="B221" s="2">
        <v>532</v>
      </c>
    </row>
    <row r="222" spans="1:2" x14ac:dyDescent="0.2">
      <c r="A222" s="2" t="s">
        <v>35</v>
      </c>
      <c r="B222" s="2">
        <v>532</v>
      </c>
    </row>
    <row r="223" spans="1:2" x14ac:dyDescent="0.2">
      <c r="A223" s="2" t="s">
        <v>35</v>
      </c>
      <c r="B223" s="2">
        <v>532</v>
      </c>
    </row>
    <row r="224" spans="1:2" x14ac:dyDescent="0.2">
      <c r="A224" s="2" t="s">
        <v>35</v>
      </c>
      <c r="B224" s="2">
        <v>532</v>
      </c>
    </row>
    <row r="225" spans="1:2" x14ac:dyDescent="0.2">
      <c r="A225" s="2" t="s">
        <v>35</v>
      </c>
      <c r="B225" s="2">
        <v>532</v>
      </c>
    </row>
    <row r="226" spans="1:2" x14ac:dyDescent="0.2">
      <c r="A226" s="2" t="s">
        <v>35</v>
      </c>
      <c r="B226" s="2">
        <v>532</v>
      </c>
    </row>
    <row r="227" spans="1:2" x14ac:dyDescent="0.2">
      <c r="A227" s="2" t="s">
        <v>35</v>
      </c>
      <c r="B227" s="2">
        <v>532</v>
      </c>
    </row>
    <row r="228" spans="1:2" x14ac:dyDescent="0.2">
      <c r="A228" s="2" t="s">
        <v>35</v>
      </c>
      <c r="B228" s="2">
        <v>532</v>
      </c>
    </row>
    <row r="229" spans="1:2" x14ac:dyDescent="0.2">
      <c r="A229" s="2" t="s">
        <v>35</v>
      </c>
      <c r="B229" s="2">
        <v>528</v>
      </c>
    </row>
    <row r="230" spans="1:2" x14ac:dyDescent="0.2">
      <c r="A230" s="2" t="s">
        <v>35</v>
      </c>
      <c r="B230" s="2">
        <v>528</v>
      </c>
    </row>
    <row r="231" spans="1:2" x14ac:dyDescent="0.2">
      <c r="A231" s="2" t="s">
        <v>35</v>
      </c>
      <c r="B231" s="2">
        <v>532</v>
      </c>
    </row>
    <row r="232" spans="1:2" x14ac:dyDescent="0.2">
      <c r="A232" s="2" t="s">
        <v>35</v>
      </c>
      <c r="B232" s="2">
        <v>532</v>
      </c>
    </row>
    <row r="233" spans="1:2" x14ac:dyDescent="0.2">
      <c r="A233" s="2" t="s">
        <v>35</v>
      </c>
      <c r="B233" s="2">
        <v>528</v>
      </c>
    </row>
    <row r="234" spans="1:2" x14ac:dyDescent="0.2">
      <c r="A234" s="2" t="s">
        <v>35</v>
      </c>
      <c r="B234" s="2">
        <v>532</v>
      </c>
    </row>
    <row r="235" spans="1:2" x14ac:dyDescent="0.2">
      <c r="A235" s="2" t="s">
        <v>35</v>
      </c>
      <c r="B235" s="2">
        <v>532</v>
      </c>
    </row>
    <row r="236" spans="1:2" x14ac:dyDescent="0.2">
      <c r="A236" s="2" t="s">
        <v>35</v>
      </c>
      <c r="B236" s="2">
        <v>532</v>
      </c>
    </row>
    <row r="237" spans="1:2" x14ac:dyDescent="0.2">
      <c r="A237" s="2" t="s">
        <v>35</v>
      </c>
      <c r="B237" s="2">
        <v>532</v>
      </c>
    </row>
    <row r="238" spans="1:2" x14ac:dyDescent="0.2">
      <c r="A238" s="2" t="s">
        <v>35</v>
      </c>
      <c r="B238" s="2">
        <v>532</v>
      </c>
    </row>
    <row r="239" spans="1:2" x14ac:dyDescent="0.2">
      <c r="A239" s="2" t="s">
        <v>35</v>
      </c>
      <c r="B239" s="2">
        <v>532</v>
      </c>
    </row>
    <row r="240" spans="1:2" x14ac:dyDescent="0.2">
      <c r="A240" s="2" t="s">
        <v>35</v>
      </c>
      <c r="B240" s="2">
        <v>532</v>
      </c>
    </row>
    <row r="241" spans="1:2" x14ac:dyDescent="0.2">
      <c r="A241" s="2" t="s">
        <v>35</v>
      </c>
      <c r="B241" s="2">
        <v>532</v>
      </c>
    </row>
    <row r="242" spans="1:2" x14ac:dyDescent="0.2">
      <c r="A242" s="2" t="s">
        <v>35</v>
      </c>
      <c r="B242" s="2">
        <v>532</v>
      </c>
    </row>
    <row r="243" spans="1:2" x14ac:dyDescent="0.2">
      <c r="A243" s="2" t="s">
        <v>35</v>
      </c>
      <c r="B243" s="2">
        <v>532</v>
      </c>
    </row>
    <row r="244" spans="1:2" x14ac:dyDescent="0.2">
      <c r="A244" s="2" t="s">
        <v>35</v>
      </c>
      <c r="B244" s="2">
        <v>532</v>
      </c>
    </row>
    <row r="245" spans="1:2" x14ac:dyDescent="0.2">
      <c r="A245" s="2" t="s">
        <v>35</v>
      </c>
      <c r="B245" s="2">
        <v>532</v>
      </c>
    </row>
    <row r="246" spans="1:2" x14ac:dyDescent="0.2">
      <c r="A246" s="2" t="s">
        <v>35</v>
      </c>
      <c r="B246" s="2">
        <v>532</v>
      </c>
    </row>
    <row r="247" spans="1:2" x14ac:dyDescent="0.2">
      <c r="A247" s="2" t="s">
        <v>35</v>
      </c>
      <c r="B247" s="2">
        <v>532</v>
      </c>
    </row>
    <row r="248" spans="1:2" x14ac:dyDescent="0.2">
      <c r="A248" s="2" t="s">
        <v>35</v>
      </c>
      <c r="B248" s="2">
        <v>532</v>
      </c>
    </row>
    <row r="249" spans="1:2" x14ac:dyDescent="0.2">
      <c r="A249" s="2" t="s">
        <v>35</v>
      </c>
      <c r="B249" s="2">
        <v>528</v>
      </c>
    </row>
    <row r="250" spans="1:2" x14ac:dyDescent="0.2">
      <c r="A250" s="2" t="s">
        <v>35</v>
      </c>
      <c r="B250" s="2">
        <v>532</v>
      </c>
    </row>
    <row r="251" spans="1:2" x14ac:dyDescent="0.2">
      <c r="A251" s="2" t="s">
        <v>35</v>
      </c>
      <c r="B251" s="2">
        <v>532</v>
      </c>
    </row>
    <row r="252" spans="1:2" x14ac:dyDescent="0.2">
      <c r="A252" s="2" t="s">
        <v>35</v>
      </c>
      <c r="B252" s="2">
        <v>532</v>
      </c>
    </row>
    <row r="253" spans="1:2" x14ac:dyDescent="0.2">
      <c r="A253" s="2" t="s">
        <v>35</v>
      </c>
      <c r="B253" s="2">
        <v>532</v>
      </c>
    </row>
    <row r="254" spans="1:2" x14ac:dyDescent="0.2">
      <c r="A254" s="2" t="s">
        <v>35</v>
      </c>
      <c r="B254" s="2">
        <v>532</v>
      </c>
    </row>
    <row r="255" spans="1:2" x14ac:dyDescent="0.2">
      <c r="A255" s="2" t="s">
        <v>35</v>
      </c>
      <c r="B255" s="2">
        <v>528</v>
      </c>
    </row>
    <row r="256" spans="1:2" x14ac:dyDescent="0.2">
      <c r="A256" s="2" t="s">
        <v>35</v>
      </c>
      <c r="B256" s="2">
        <v>532</v>
      </c>
    </row>
    <row r="257" spans="1:2" x14ac:dyDescent="0.2">
      <c r="A257" s="2" t="s">
        <v>35</v>
      </c>
      <c r="B257" s="2">
        <v>532</v>
      </c>
    </row>
    <row r="258" spans="1:2" x14ac:dyDescent="0.2">
      <c r="A258" s="2" t="s">
        <v>35</v>
      </c>
      <c r="B258" s="2">
        <v>532</v>
      </c>
    </row>
    <row r="259" spans="1:2" x14ac:dyDescent="0.2">
      <c r="A259" s="2" t="s">
        <v>35</v>
      </c>
      <c r="B259" s="2">
        <v>532</v>
      </c>
    </row>
    <row r="260" spans="1:2" x14ac:dyDescent="0.2">
      <c r="A260" s="2" t="s">
        <v>35</v>
      </c>
      <c r="B260" s="2">
        <v>532</v>
      </c>
    </row>
    <row r="261" spans="1:2" x14ac:dyDescent="0.2">
      <c r="A261" s="2" t="s">
        <v>35</v>
      </c>
      <c r="B261" s="2">
        <v>532</v>
      </c>
    </row>
    <row r="262" spans="1:2" x14ac:dyDescent="0.2">
      <c r="A262" s="2" t="s">
        <v>35</v>
      </c>
      <c r="B262" s="2">
        <v>532</v>
      </c>
    </row>
    <row r="263" spans="1:2" x14ac:dyDescent="0.2">
      <c r="A263" s="2" t="s">
        <v>35</v>
      </c>
      <c r="B263" s="2">
        <v>528</v>
      </c>
    </row>
    <row r="264" spans="1:2" x14ac:dyDescent="0.2">
      <c r="A264" s="2" t="s">
        <v>35</v>
      </c>
      <c r="B264" s="2">
        <v>532</v>
      </c>
    </row>
    <row r="265" spans="1:2" x14ac:dyDescent="0.2">
      <c r="A265" s="2" t="s">
        <v>35</v>
      </c>
      <c r="B265" s="2">
        <v>532</v>
      </c>
    </row>
    <row r="266" spans="1:2" x14ac:dyDescent="0.2">
      <c r="A266" s="2" t="s">
        <v>35</v>
      </c>
      <c r="B266" s="2">
        <v>532</v>
      </c>
    </row>
    <row r="267" spans="1:2" x14ac:dyDescent="0.2">
      <c r="A267" s="2" t="s">
        <v>35</v>
      </c>
      <c r="B267" s="2">
        <v>528</v>
      </c>
    </row>
    <row r="268" spans="1:2" x14ac:dyDescent="0.2">
      <c r="A268" s="2" t="s">
        <v>35</v>
      </c>
      <c r="B268" s="2">
        <v>532</v>
      </c>
    </row>
    <row r="269" spans="1:2" x14ac:dyDescent="0.2">
      <c r="A269" s="2" t="s">
        <v>35</v>
      </c>
      <c r="B269" s="2">
        <v>532</v>
      </c>
    </row>
    <row r="270" spans="1:2" x14ac:dyDescent="0.2">
      <c r="A270" s="2" t="s">
        <v>35</v>
      </c>
      <c r="B270" s="2">
        <v>532</v>
      </c>
    </row>
    <row r="271" spans="1:2" x14ac:dyDescent="0.2">
      <c r="A271" s="2" t="s">
        <v>35</v>
      </c>
      <c r="B271" s="2">
        <v>532</v>
      </c>
    </row>
    <row r="272" spans="1:2" x14ac:dyDescent="0.2">
      <c r="A272" s="2" t="s">
        <v>35</v>
      </c>
      <c r="B272" s="2">
        <v>532</v>
      </c>
    </row>
    <row r="273" spans="1:2" x14ac:dyDescent="0.2">
      <c r="A273" s="2" t="s">
        <v>35</v>
      </c>
      <c r="B273" s="2">
        <v>532</v>
      </c>
    </row>
    <row r="274" spans="1:2" x14ac:dyDescent="0.2">
      <c r="A274" s="2" t="s">
        <v>35</v>
      </c>
      <c r="B274" s="2">
        <v>532</v>
      </c>
    </row>
    <row r="275" spans="1:2" x14ac:dyDescent="0.2">
      <c r="A275" s="2" t="s">
        <v>35</v>
      </c>
      <c r="B275" s="2">
        <v>532</v>
      </c>
    </row>
    <row r="276" spans="1:2" x14ac:dyDescent="0.2">
      <c r="A276" s="2" t="s">
        <v>35</v>
      </c>
      <c r="B276" s="2">
        <v>532</v>
      </c>
    </row>
    <row r="277" spans="1:2" x14ac:dyDescent="0.2">
      <c r="A277" s="2" t="s">
        <v>35</v>
      </c>
      <c r="B277" s="2">
        <v>532</v>
      </c>
    </row>
    <row r="278" spans="1:2" x14ac:dyDescent="0.2">
      <c r="A278" s="2" t="s">
        <v>35</v>
      </c>
      <c r="B278" s="2">
        <v>532</v>
      </c>
    </row>
    <row r="279" spans="1:2" x14ac:dyDescent="0.2">
      <c r="A279" s="2" t="s">
        <v>35</v>
      </c>
      <c r="B279" s="2">
        <v>532</v>
      </c>
    </row>
    <row r="280" spans="1:2" x14ac:dyDescent="0.2">
      <c r="A280" s="2" t="s">
        <v>35</v>
      </c>
      <c r="B280" s="2">
        <v>532</v>
      </c>
    </row>
    <row r="281" spans="1:2" x14ac:dyDescent="0.2">
      <c r="A281" s="2" t="s">
        <v>35</v>
      </c>
      <c r="B281" s="2">
        <v>532</v>
      </c>
    </row>
    <row r="282" spans="1:2" x14ac:dyDescent="0.2">
      <c r="A282" s="2" t="s">
        <v>35</v>
      </c>
      <c r="B282" s="2">
        <v>532</v>
      </c>
    </row>
    <row r="283" spans="1:2" x14ac:dyDescent="0.2">
      <c r="A283" s="2" t="s">
        <v>35</v>
      </c>
      <c r="B283" s="2">
        <v>528</v>
      </c>
    </row>
    <row r="284" spans="1:2" x14ac:dyDescent="0.2">
      <c r="A284" s="2" t="s">
        <v>35</v>
      </c>
      <c r="B284" s="2">
        <v>532</v>
      </c>
    </row>
    <row r="285" spans="1:2" x14ac:dyDescent="0.2">
      <c r="A285" s="2" t="s">
        <v>35</v>
      </c>
      <c r="B285" s="2">
        <v>532</v>
      </c>
    </row>
    <row r="286" spans="1:2" x14ac:dyDescent="0.2">
      <c r="A286" s="2" t="s">
        <v>35</v>
      </c>
      <c r="B286" s="2">
        <v>532</v>
      </c>
    </row>
    <row r="287" spans="1:2" x14ac:dyDescent="0.2">
      <c r="A287" s="2" t="s">
        <v>35</v>
      </c>
      <c r="B287" s="2">
        <v>532</v>
      </c>
    </row>
    <row r="288" spans="1:2" x14ac:dyDescent="0.2">
      <c r="A288" s="2" t="s">
        <v>35</v>
      </c>
      <c r="B288" s="2">
        <v>532</v>
      </c>
    </row>
    <row r="289" spans="1:2" x14ac:dyDescent="0.2">
      <c r="A289" s="2" t="s">
        <v>35</v>
      </c>
      <c r="B289" s="2">
        <v>528</v>
      </c>
    </row>
    <row r="290" spans="1:2" x14ac:dyDescent="0.2">
      <c r="A290" s="2" t="s">
        <v>35</v>
      </c>
      <c r="B290" s="2">
        <v>532</v>
      </c>
    </row>
    <row r="291" spans="1:2" x14ac:dyDescent="0.2">
      <c r="A291" s="2" t="s">
        <v>35</v>
      </c>
      <c r="B291" s="2">
        <v>532</v>
      </c>
    </row>
    <row r="292" spans="1:2" x14ac:dyDescent="0.2">
      <c r="A292" s="2" t="s">
        <v>35</v>
      </c>
      <c r="B292" s="2">
        <v>532</v>
      </c>
    </row>
    <row r="293" spans="1:2" x14ac:dyDescent="0.2">
      <c r="A293" s="2" t="s">
        <v>35</v>
      </c>
      <c r="B293" s="2">
        <v>532</v>
      </c>
    </row>
    <row r="294" spans="1:2" x14ac:dyDescent="0.2">
      <c r="A294" s="2" t="s">
        <v>35</v>
      </c>
      <c r="B294" s="2">
        <v>532</v>
      </c>
    </row>
    <row r="295" spans="1:2" x14ac:dyDescent="0.2">
      <c r="A295" s="2" t="s">
        <v>35</v>
      </c>
      <c r="B295" s="2">
        <v>532</v>
      </c>
    </row>
    <row r="296" spans="1:2" x14ac:dyDescent="0.2">
      <c r="A296" s="2" t="s">
        <v>35</v>
      </c>
      <c r="B296" s="2">
        <v>532</v>
      </c>
    </row>
    <row r="297" spans="1:2" x14ac:dyDescent="0.2">
      <c r="A297" s="2" t="s">
        <v>35</v>
      </c>
      <c r="B297" s="2">
        <v>532</v>
      </c>
    </row>
    <row r="298" spans="1:2" x14ac:dyDescent="0.2">
      <c r="A298" s="2" t="s">
        <v>35</v>
      </c>
      <c r="B298" s="2">
        <v>532</v>
      </c>
    </row>
    <row r="299" spans="1:2" x14ac:dyDescent="0.2">
      <c r="A299" s="2" t="s">
        <v>35</v>
      </c>
      <c r="B299" s="2">
        <v>532</v>
      </c>
    </row>
    <row r="300" spans="1:2" x14ac:dyDescent="0.2">
      <c r="A300" s="2" t="s">
        <v>35</v>
      </c>
      <c r="B300" s="2">
        <v>532</v>
      </c>
    </row>
    <row r="301" spans="1:2" x14ac:dyDescent="0.2">
      <c r="A301" s="2" t="s">
        <v>35</v>
      </c>
      <c r="B301" s="2">
        <v>532</v>
      </c>
    </row>
    <row r="302" spans="1:2" x14ac:dyDescent="0.2">
      <c r="A302" s="2" t="s">
        <v>35</v>
      </c>
      <c r="B302" s="2">
        <v>528</v>
      </c>
    </row>
    <row r="303" spans="1:2" x14ac:dyDescent="0.2">
      <c r="A303" s="2" t="s">
        <v>35</v>
      </c>
      <c r="B303" s="2">
        <v>532</v>
      </c>
    </row>
    <row r="304" spans="1:2" x14ac:dyDescent="0.2">
      <c r="A304" s="2" t="s">
        <v>35</v>
      </c>
      <c r="B304" s="2">
        <v>532</v>
      </c>
    </row>
    <row r="305" spans="1:3" x14ac:dyDescent="0.2">
      <c r="A305" s="2" t="s">
        <v>35</v>
      </c>
      <c r="B305" s="2">
        <v>532</v>
      </c>
    </row>
    <row r="306" spans="1:3" x14ac:dyDescent="0.2">
      <c r="A306" s="2" t="s">
        <v>35</v>
      </c>
      <c r="B306" s="2">
        <v>532</v>
      </c>
    </row>
    <row r="307" spans="1:3" x14ac:dyDescent="0.2">
      <c r="A307" s="2" t="s">
        <v>35</v>
      </c>
      <c r="B307" s="2">
        <v>532</v>
      </c>
    </row>
    <row r="308" spans="1:3" x14ac:dyDescent="0.2">
      <c r="A308" s="2" t="s">
        <v>35</v>
      </c>
      <c r="B308" s="2">
        <v>532</v>
      </c>
    </row>
    <row r="309" spans="1:3" x14ac:dyDescent="0.2">
      <c r="A309" s="2" t="s">
        <v>35</v>
      </c>
      <c r="B309" s="2">
        <v>532</v>
      </c>
    </row>
    <row r="310" spans="1:3" x14ac:dyDescent="0.2">
      <c r="A310" s="2" t="s">
        <v>35</v>
      </c>
      <c r="B310" s="2">
        <v>532</v>
      </c>
    </row>
    <row r="311" spans="1:3" x14ac:dyDescent="0.2">
      <c r="A311" s="2"/>
      <c r="B311" s="2">
        <f>AVERAGE(B211:B310)</f>
        <v>531.52</v>
      </c>
      <c r="C311" s="1">
        <f>B311/C1</f>
        <v>0.88586666666666669</v>
      </c>
    </row>
    <row r="312" spans="1:3" x14ac:dyDescent="0.2">
      <c r="A312" s="2"/>
      <c r="B312" s="2"/>
    </row>
    <row r="313" spans="1:3" x14ac:dyDescent="0.2">
      <c r="A313" s="2"/>
      <c r="B313" s="2"/>
    </row>
    <row r="314" spans="1:3" x14ac:dyDescent="0.2">
      <c r="A314" s="2"/>
      <c r="B314" s="2"/>
    </row>
    <row r="315" spans="1:3" x14ac:dyDescent="0.2">
      <c r="A315" s="2" t="s">
        <v>36</v>
      </c>
      <c r="B315" s="2">
        <v>532</v>
      </c>
    </row>
    <row r="316" spans="1:3" x14ac:dyDescent="0.2">
      <c r="A316" s="2" t="s">
        <v>36</v>
      </c>
      <c r="B316" s="2">
        <v>532</v>
      </c>
    </row>
    <row r="317" spans="1:3" x14ac:dyDescent="0.2">
      <c r="A317" s="2" t="s">
        <v>36</v>
      </c>
      <c r="B317" s="2">
        <v>532</v>
      </c>
    </row>
    <row r="318" spans="1:3" x14ac:dyDescent="0.2">
      <c r="A318" s="2" t="s">
        <v>36</v>
      </c>
      <c r="B318" s="2">
        <v>532</v>
      </c>
    </row>
    <row r="319" spans="1:3" x14ac:dyDescent="0.2">
      <c r="A319" s="2" t="s">
        <v>36</v>
      </c>
      <c r="B319" s="2">
        <v>532</v>
      </c>
    </row>
    <row r="320" spans="1:3" x14ac:dyDescent="0.2">
      <c r="A320" s="2" t="s">
        <v>36</v>
      </c>
      <c r="B320" s="2">
        <v>532</v>
      </c>
    </row>
    <row r="321" spans="1:2" x14ac:dyDescent="0.2">
      <c r="A321" s="2" t="s">
        <v>36</v>
      </c>
      <c r="B321" s="2">
        <v>532</v>
      </c>
    </row>
    <row r="322" spans="1:2" x14ac:dyDescent="0.2">
      <c r="A322" s="2" t="s">
        <v>36</v>
      </c>
      <c r="B322" s="2">
        <v>532</v>
      </c>
    </row>
    <row r="323" spans="1:2" x14ac:dyDescent="0.2">
      <c r="A323" s="2" t="s">
        <v>36</v>
      </c>
      <c r="B323" s="2">
        <v>532</v>
      </c>
    </row>
    <row r="324" spans="1:2" x14ac:dyDescent="0.2">
      <c r="A324" s="2" t="s">
        <v>36</v>
      </c>
      <c r="B324" s="2">
        <v>532</v>
      </c>
    </row>
    <row r="325" spans="1:2" x14ac:dyDescent="0.2">
      <c r="A325" s="2" t="s">
        <v>36</v>
      </c>
      <c r="B325" s="2">
        <v>532</v>
      </c>
    </row>
    <row r="326" spans="1:2" x14ac:dyDescent="0.2">
      <c r="A326" s="2" t="s">
        <v>36</v>
      </c>
      <c r="B326" s="2">
        <v>532</v>
      </c>
    </row>
    <row r="327" spans="1:2" x14ac:dyDescent="0.2">
      <c r="A327" s="2" t="s">
        <v>36</v>
      </c>
      <c r="B327" s="2">
        <v>532</v>
      </c>
    </row>
    <row r="328" spans="1:2" x14ac:dyDescent="0.2">
      <c r="A328" s="2" t="s">
        <v>36</v>
      </c>
      <c r="B328" s="2">
        <v>532</v>
      </c>
    </row>
    <row r="329" spans="1:2" x14ac:dyDescent="0.2">
      <c r="A329" s="2" t="s">
        <v>36</v>
      </c>
      <c r="B329" s="2">
        <v>532</v>
      </c>
    </row>
    <row r="330" spans="1:2" x14ac:dyDescent="0.2">
      <c r="A330" s="2" t="s">
        <v>36</v>
      </c>
      <c r="B330" s="2">
        <v>532</v>
      </c>
    </row>
    <row r="331" spans="1:2" x14ac:dyDescent="0.2">
      <c r="A331" s="2" t="s">
        <v>36</v>
      </c>
      <c r="B331" s="2">
        <v>532</v>
      </c>
    </row>
    <row r="332" spans="1:2" x14ac:dyDescent="0.2">
      <c r="A332" s="2" t="s">
        <v>36</v>
      </c>
      <c r="B332" s="2">
        <v>532</v>
      </c>
    </row>
    <row r="333" spans="1:2" x14ac:dyDescent="0.2">
      <c r="A333" s="2" t="s">
        <v>36</v>
      </c>
      <c r="B333" s="2">
        <v>532</v>
      </c>
    </row>
    <row r="334" spans="1:2" x14ac:dyDescent="0.2">
      <c r="A334" s="2" t="s">
        <v>36</v>
      </c>
      <c r="B334" s="2">
        <v>532</v>
      </c>
    </row>
    <row r="335" spans="1:2" x14ac:dyDescent="0.2">
      <c r="A335" s="2" t="s">
        <v>36</v>
      </c>
      <c r="B335" s="2">
        <v>532</v>
      </c>
    </row>
    <row r="336" spans="1:2" x14ac:dyDescent="0.2">
      <c r="A336" s="2" t="s">
        <v>36</v>
      </c>
      <c r="B336" s="2">
        <v>532</v>
      </c>
    </row>
    <row r="337" spans="1:2" x14ac:dyDescent="0.2">
      <c r="A337" s="2" t="s">
        <v>36</v>
      </c>
      <c r="B337" s="2">
        <v>532</v>
      </c>
    </row>
    <row r="338" spans="1:2" x14ac:dyDescent="0.2">
      <c r="A338" s="2" t="s">
        <v>36</v>
      </c>
      <c r="B338" s="2">
        <v>532</v>
      </c>
    </row>
    <row r="339" spans="1:2" x14ac:dyDescent="0.2">
      <c r="A339" s="2" t="s">
        <v>36</v>
      </c>
      <c r="B339" s="2">
        <v>532</v>
      </c>
    </row>
    <row r="340" spans="1:2" x14ac:dyDescent="0.2">
      <c r="A340" s="2" t="s">
        <v>36</v>
      </c>
      <c r="B340" s="2">
        <v>532</v>
      </c>
    </row>
    <row r="341" spans="1:2" x14ac:dyDescent="0.2">
      <c r="A341" s="2" t="s">
        <v>36</v>
      </c>
      <c r="B341" s="2">
        <v>532</v>
      </c>
    </row>
    <row r="342" spans="1:2" x14ac:dyDescent="0.2">
      <c r="A342" s="2" t="s">
        <v>36</v>
      </c>
      <c r="B342" s="2">
        <v>532</v>
      </c>
    </row>
    <row r="343" spans="1:2" x14ac:dyDescent="0.2">
      <c r="A343" s="2" t="s">
        <v>36</v>
      </c>
      <c r="B343" s="2">
        <v>528</v>
      </c>
    </row>
    <row r="344" spans="1:2" x14ac:dyDescent="0.2">
      <c r="A344" s="2" t="s">
        <v>36</v>
      </c>
      <c r="B344" s="2">
        <v>532</v>
      </c>
    </row>
    <row r="345" spans="1:2" x14ac:dyDescent="0.2">
      <c r="A345" s="2" t="s">
        <v>36</v>
      </c>
      <c r="B345" s="2">
        <v>532</v>
      </c>
    </row>
    <row r="346" spans="1:2" x14ac:dyDescent="0.2">
      <c r="A346" s="2" t="s">
        <v>36</v>
      </c>
      <c r="B346" s="2">
        <v>532</v>
      </c>
    </row>
    <row r="347" spans="1:2" x14ac:dyDescent="0.2">
      <c r="A347" s="2" t="s">
        <v>36</v>
      </c>
      <c r="B347" s="2">
        <v>532</v>
      </c>
    </row>
    <row r="348" spans="1:2" x14ac:dyDescent="0.2">
      <c r="A348" s="2" t="s">
        <v>36</v>
      </c>
      <c r="B348" s="2">
        <v>532</v>
      </c>
    </row>
    <row r="349" spans="1:2" x14ac:dyDescent="0.2">
      <c r="A349" s="2" t="s">
        <v>36</v>
      </c>
      <c r="B349" s="2">
        <v>532</v>
      </c>
    </row>
    <row r="350" spans="1:2" x14ac:dyDescent="0.2">
      <c r="A350" s="2" t="s">
        <v>36</v>
      </c>
      <c r="B350" s="2">
        <v>532</v>
      </c>
    </row>
    <row r="351" spans="1:2" x14ac:dyDescent="0.2">
      <c r="A351" s="2" t="s">
        <v>36</v>
      </c>
      <c r="B351" s="2">
        <v>532</v>
      </c>
    </row>
    <row r="352" spans="1:2" x14ac:dyDescent="0.2">
      <c r="A352" s="2" t="s">
        <v>36</v>
      </c>
      <c r="B352" s="2">
        <v>532</v>
      </c>
    </row>
    <row r="353" spans="1:2" x14ac:dyDescent="0.2">
      <c r="A353" s="2" t="s">
        <v>36</v>
      </c>
      <c r="B353" s="2">
        <v>532</v>
      </c>
    </row>
    <row r="354" spans="1:2" x14ac:dyDescent="0.2">
      <c r="A354" s="2" t="s">
        <v>36</v>
      </c>
      <c r="B354" s="2">
        <v>532</v>
      </c>
    </row>
    <row r="355" spans="1:2" x14ac:dyDescent="0.2">
      <c r="A355" s="2" t="s">
        <v>36</v>
      </c>
      <c r="B355" s="2">
        <v>532</v>
      </c>
    </row>
    <row r="356" spans="1:2" x14ac:dyDescent="0.2">
      <c r="A356" s="2" t="s">
        <v>36</v>
      </c>
      <c r="B356" s="2">
        <v>532</v>
      </c>
    </row>
    <row r="357" spans="1:2" x14ac:dyDescent="0.2">
      <c r="A357" s="2" t="s">
        <v>36</v>
      </c>
      <c r="B357" s="2">
        <v>532</v>
      </c>
    </row>
    <row r="358" spans="1:2" x14ac:dyDescent="0.2">
      <c r="A358" s="2" t="s">
        <v>36</v>
      </c>
      <c r="B358" s="2">
        <v>532</v>
      </c>
    </row>
    <row r="359" spans="1:2" x14ac:dyDescent="0.2">
      <c r="A359" s="2" t="s">
        <v>36</v>
      </c>
      <c r="B359" s="2">
        <v>532</v>
      </c>
    </row>
    <row r="360" spans="1:2" x14ac:dyDescent="0.2">
      <c r="A360" s="2" t="s">
        <v>36</v>
      </c>
      <c r="B360" s="2">
        <v>528</v>
      </c>
    </row>
    <row r="361" spans="1:2" x14ac:dyDescent="0.2">
      <c r="A361" s="2" t="s">
        <v>36</v>
      </c>
      <c r="B361" s="2">
        <v>532</v>
      </c>
    </row>
    <row r="362" spans="1:2" x14ac:dyDescent="0.2">
      <c r="A362" s="2" t="s">
        <v>36</v>
      </c>
      <c r="B362" s="2">
        <v>532</v>
      </c>
    </row>
    <row r="363" spans="1:2" x14ac:dyDescent="0.2">
      <c r="A363" s="2" t="s">
        <v>36</v>
      </c>
      <c r="B363" s="2">
        <v>532</v>
      </c>
    </row>
    <row r="364" spans="1:2" x14ac:dyDescent="0.2">
      <c r="A364" s="2" t="s">
        <v>36</v>
      </c>
      <c r="B364" s="2">
        <v>532</v>
      </c>
    </row>
    <row r="365" spans="1:2" x14ac:dyDescent="0.2">
      <c r="A365" s="2" t="s">
        <v>36</v>
      </c>
      <c r="B365" s="2">
        <v>532</v>
      </c>
    </row>
    <row r="366" spans="1:2" x14ac:dyDescent="0.2">
      <c r="A366" s="2" t="s">
        <v>36</v>
      </c>
      <c r="B366" s="2">
        <v>532</v>
      </c>
    </row>
    <row r="367" spans="1:2" x14ac:dyDescent="0.2">
      <c r="A367" s="2" t="s">
        <v>36</v>
      </c>
      <c r="B367" s="2">
        <v>532</v>
      </c>
    </row>
    <row r="368" spans="1:2" x14ac:dyDescent="0.2">
      <c r="A368" s="2" t="s">
        <v>36</v>
      </c>
      <c r="B368" s="2">
        <v>532</v>
      </c>
    </row>
    <row r="369" spans="1:2" x14ac:dyDescent="0.2">
      <c r="A369" s="2" t="s">
        <v>36</v>
      </c>
      <c r="B369" s="2">
        <v>532</v>
      </c>
    </row>
    <row r="370" spans="1:2" x14ac:dyDescent="0.2">
      <c r="A370" s="2" t="s">
        <v>36</v>
      </c>
      <c r="B370" s="2">
        <v>532</v>
      </c>
    </row>
    <row r="371" spans="1:2" x14ac:dyDescent="0.2">
      <c r="A371" s="2" t="s">
        <v>36</v>
      </c>
      <c r="B371" s="2">
        <v>532</v>
      </c>
    </row>
    <row r="372" spans="1:2" x14ac:dyDescent="0.2">
      <c r="A372" s="2" t="s">
        <v>36</v>
      </c>
      <c r="B372" s="2">
        <v>532</v>
      </c>
    </row>
    <row r="373" spans="1:2" x14ac:dyDescent="0.2">
      <c r="A373" s="2" t="s">
        <v>36</v>
      </c>
      <c r="B373" s="2">
        <v>532</v>
      </c>
    </row>
    <row r="374" spans="1:2" x14ac:dyDescent="0.2">
      <c r="A374" s="2" t="s">
        <v>36</v>
      </c>
      <c r="B374" s="2">
        <v>532</v>
      </c>
    </row>
    <row r="375" spans="1:2" x14ac:dyDescent="0.2">
      <c r="A375" s="2" t="s">
        <v>36</v>
      </c>
      <c r="B375" s="2">
        <v>532</v>
      </c>
    </row>
    <row r="376" spans="1:2" x14ac:dyDescent="0.2">
      <c r="A376" s="2" t="s">
        <v>36</v>
      </c>
      <c r="B376" s="2">
        <v>532</v>
      </c>
    </row>
    <row r="377" spans="1:2" x14ac:dyDescent="0.2">
      <c r="A377" s="2" t="s">
        <v>36</v>
      </c>
      <c r="B377" s="2">
        <v>532</v>
      </c>
    </row>
    <row r="378" spans="1:2" x14ac:dyDescent="0.2">
      <c r="A378" s="2" t="s">
        <v>36</v>
      </c>
      <c r="B378" s="2">
        <v>532</v>
      </c>
    </row>
    <row r="379" spans="1:2" x14ac:dyDescent="0.2">
      <c r="A379" s="2" t="s">
        <v>36</v>
      </c>
      <c r="B379" s="2">
        <v>532</v>
      </c>
    </row>
    <row r="380" spans="1:2" x14ac:dyDescent="0.2">
      <c r="A380" s="2" t="s">
        <v>36</v>
      </c>
      <c r="B380" s="2">
        <v>532</v>
      </c>
    </row>
    <row r="381" spans="1:2" x14ac:dyDescent="0.2">
      <c r="A381" s="2" t="s">
        <v>36</v>
      </c>
      <c r="B381" s="2">
        <v>532</v>
      </c>
    </row>
    <row r="382" spans="1:2" x14ac:dyDescent="0.2">
      <c r="A382" s="2" t="s">
        <v>36</v>
      </c>
      <c r="B382" s="2">
        <v>532</v>
      </c>
    </row>
    <row r="383" spans="1:2" x14ac:dyDescent="0.2">
      <c r="A383" s="2" t="s">
        <v>36</v>
      </c>
      <c r="B383" s="2">
        <v>532</v>
      </c>
    </row>
    <row r="384" spans="1:2" x14ac:dyDescent="0.2">
      <c r="A384" s="2" t="s">
        <v>36</v>
      </c>
      <c r="B384" s="2">
        <v>532</v>
      </c>
    </row>
    <row r="385" spans="1:2" x14ac:dyDescent="0.2">
      <c r="A385" s="2" t="s">
        <v>36</v>
      </c>
      <c r="B385" s="2">
        <v>532</v>
      </c>
    </row>
    <row r="386" spans="1:2" x14ac:dyDescent="0.2">
      <c r="A386" s="2" t="s">
        <v>36</v>
      </c>
      <c r="B386" s="2">
        <v>532</v>
      </c>
    </row>
    <row r="387" spans="1:2" x14ac:dyDescent="0.2">
      <c r="A387" s="2" t="s">
        <v>36</v>
      </c>
      <c r="B387" s="2">
        <v>532</v>
      </c>
    </row>
    <row r="388" spans="1:2" x14ac:dyDescent="0.2">
      <c r="A388" s="2" t="s">
        <v>36</v>
      </c>
      <c r="B388" s="2">
        <v>532</v>
      </c>
    </row>
    <row r="389" spans="1:2" x14ac:dyDescent="0.2">
      <c r="A389" s="2" t="s">
        <v>36</v>
      </c>
      <c r="B389" s="2">
        <v>532</v>
      </c>
    </row>
    <row r="390" spans="1:2" x14ac:dyDescent="0.2">
      <c r="A390" s="2" t="s">
        <v>36</v>
      </c>
      <c r="B390" s="2">
        <v>532</v>
      </c>
    </row>
    <row r="391" spans="1:2" x14ac:dyDescent="0.2">
      <c r="A391" s="2" t="s">
        <v>36</v>
      </c>
      <c r="B391" s="2">
        <v>532</v>
      </c>
    </row>
    <row r="392" spans="1:2" x14ac:dyDescent="0.2">
      <c r="A392" s="2" t="s">
        <v>36</v>
      </c>
      <c r="B392" s="2">
        <v>528</v>
      </c>
    </row>
    <row r="393" spans="1:2" x14ac:dyDescent="0.2">
      <c r="A393" s="2" t="s">
        <v>36</v>
      </c>
      <c r="B393" s="2">
        <v>532</v>
      </c>
    </row>
    <row r="394" spans="1:2" x14ac:dyDescent="0.2">
      <c r="A394" s="2" t="s">
        <v>36</v>
      </c>
      <c r="B394" s="2">
        <v>532</v>
      </c>
    </row>
    <row r="395" spans="1:2" x14ac:dyDescent="0.2">
      <c r="A395" s="2" t="s">
        <v>36</v>
      </c>
      <c r="B395" s="2">
        <v>532</v>
      </c>
    </row>
    <row r="396" spans="1:2" x14ac:dyDescent="0.2">
      <c r="A396" s="2" t="s">
        <v>36</v>
      </c>
      <c r="B396" s="2">
        <v>528</v>
      </c>
    </row>
    <row r="397" spans="1:2" x14ac:dyDescent="0.2">
      <c r="A397" s="2" t="s">
        <v>36</v>
      </c>
      <c r="B397" s="2">
        <v>532</v>
      </c>
    </row>
    <row r="398" spans="1:2" x14ac:dyDescent="0.2">
      <c r="A398" s="2" t="s">
        <v>36</v>
      </c>
      <c r="B398" s="2">
        <v>532</v>
      </c>
    </row>
    <row r="399" spans="1:2" x14ac:dyDescent="0.2">
      <c r="A399" s="2" t="s">
        <v>36</v>
      </c>
      <c r="B399" s="2">
        <v>528</v>
      </c>
    </row>
    <row r="400" spans="1:2" x14ac:dyDescent="0.2">
      <c r="A400" s="2" t="s">
        <v>36</v>
      </c>
      <c r="B400" s="2">
        <v>528</v>
      </c>
    </row>
    <row r="401" spans="1:3" x14ac:dyDescent="0.2">
      <c r="A401" s="2" t="s">
        <v>36</v>
      </c>
      <c r="B401" s="2">
        <v>532</v>
      </c>
    </row>
    <row r="402" spans="1:3" x14ac:dyDescent="0.2">
      <c r="A402" s="2" t="s">
        <v>36</v>
      </c>
      <c r="B402" s="2">
        <v>532</v>
      </c>
    </row>
    <row r="403" spans="1:3" x14ac:dyDescent="0.2">
      <c r="A403" s="2" t="s">
        <v>36</v>
      </c>
      <c r="B403" s="2">
        <v>532</v>
      </c>
    </row>
    <row r="404" spans="1:3" x14ac:dyDescent="0.2">
      <c r="A404" s="2" t="s">
        <v>36</v>
      </c>
      <c r="B404" s="2">
        <v>532</v>
      </c>
    </row>
    <row r="405" spans="1:3" x14ac:dyDescent="0.2">
      <c r="A405" s="2" t="s">
        <v>36</v>
      </c>
      <c r="B405" s="2">
        <v>532</v>
      </c>
    </row>
    <row r="406" spans="1:3" x14ac:dyDescent="0.2">
      <c r="A406" s="2" t="s">
        <v>36</v>
      </c>
      <c r="B406" s="2">
        <v>532</v>
      </c>
    </row>
    <row r="407" spans="1:3" x14ac:dyDescent="0.2">
      <c r="A407" s="2" t="s">
        <v>36</v>
      </c>
      <c r="B407" s="2">
        <v>532</v>
      </c>
    </row>
    <row r="408" spans="1:3" x14ac:dyDescent="0.2">
      <c r="A408" s="2" t="s">
        <v>36</v>
      </c>
      <c r="B408" s="2">
        <v>532</v>
      </c>
    </row>
    <row r="409" spans="1:3" x14ac:dyDescent="0.2">
      <c r="A409" s="2" t="s">
        <v>36</v>
      </c>
      <c r="B409" s="2">
        <v>532</v>
      </c>
    </row>
    <row r="410" spans="1:3" x14ac:dyDescent="0.2">
      <c r="A410" s="2" t="s">
        <v>36</v>
      </c>
      <c r="B410" s="2">
        <v>532</v>
      </c>
    </row>
    <row r="411" spans="1:3" x14ac:dyDescent="0.2">
      <c r="A411" s="2" t="s">
        <v>36</v>
      </c>
      <c r="B411" s="2">
        <v>532</v>
      </c>
    </row>
    <row r="412" spans="1:3" x14ac:dyDescent="0.2">
      <c r="A412" s="2" t="s">
        <v>36</v>
      </c>
      <c r="B412" s="2">
        <v>532</v>
      </c>
    </row>
    <row r="413" spans="1:3" x14ac:dyDescent="0.2">
      <c r="A413" s="2" t="s">
        <v>36</v>
      </c>
      <c r="B413" s="2">
        <v>532</v>
      </c>
    </row>
    <row r="414" spans="1:3" x14ac:dyDescent="0.2">
      <c r="A414" s="2" t="s">
        <v>36</v>
      </c>
      <c r="B414" s="2">
        <v>532</v>
      </c>
    </row>
    <row r="415" spans="1:3" x14ac:dyDescent="0.2">
      <c r="A415" s="2"/>
      <c r="B415" s="2">
        <f>AVERAGE(B315:B414)</f>
        <v>531.76</v>
      </c>
      <c r="C415" s="1">
        <f>B415/C1</f>
        <v>0.88626666666666665</v>
      </c>
    </row>
    <row r="416" spans="1:3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 t="s">
        <v>37</v>
      </c>
      <c r="B419" s="2">
        <v>532</v>
      </c>
    </row>
    <row r="420" spans="1:2" x14ac:dyDescent="0.2">
      <c r="A420" s="2" t="s">
        <v>37</v>
      </c>
      <c r="B420" s="2">
        <v>532</v>
      </c>
    </row>
    <row r="421" spans="1:2" x14ac:dyDescent="0.2">
      <c r="A421" s="2" t="s">
        <v>37</v>
      </c>
      <c r="B421" s="2">
        <v>532</v>
      </c>
    </row>
    <row r="422" spans="1:2" x14ac:dyDescent="0.2">
      <c r="A422" s="2" t="s">
        <v>37</v>
      </c>
      <c r="B422" s="2">
        <v>532</v>
      </c>
    </row>
    <row r="423" spans="1:2" x14ac:dyDescent="0.2">
      <c r="A423" s="2" t="s">
        <v>37</v>
      </c>
      <c r="B423" s="2">
        <v>532</v>
      </c>
    </row>
    <row r="424" spans="1:2" x14ac:dyDescent="0.2">
      <c r="A424" s="2" t="s">
        <v>37</v>
      </c>
      <c r="B424" s="2">
        <v>532</v>
      </c>
    </row>
    <row r="425" spans="1:2" x14ac:dyDescent="0.2">
      <c r="A425" s="2" t="s">
        <v>37</v>
      </c>
      <c r="B425" s="2">
        <v>532</v>
      </c>
    </row>
    <row r="426" spans="1:2" x14ac:dyDescent="0.2">
      <c r="A426" s="2" t="s">
        <v>37</v>
      </c>
      <c r="B426" s="2">
        <v>532</v>
      </c>
    </row>
    <row r="427" spans="1:2" x14ac:dyDescent="0.2">
      <c r="A427" s="2" t="s">
        <v>37</v>
      </c>
      <c r="B427" s="2">
        <v>532</v>
      </c>
    </row>
    <row r="428" spans="1:2" x14ac:dyDescent="0.2">
      <c r="A428" s="2" t="s">
        <v>37</v>
      </c>
      <c r="B428" s="2">
        <v>532</v>
      </c>
    </row>
    <row r="429" spans="1:2" x14ac:dyDescent="0.2">
      <c r="A429" s="2" t="s">
        <v>37</v>
      </c>
      <c r="B429" s="2">
        <v>532</v>
      </c>
    </row>
    <row r="430" spans="1:2" x14ac:dyDescent="0.2">
      <c r="A430" s="2" t="s">
        <v>37</v>
      </c>
      <c r="B430" s="2">
        <v>532</v>
      </c>
    </row>
    <row r="431" spans="1:2" x14ac:dyDescent="0.2">
      <c r="A431" s="2" t="s">
        <v>37</v>
      </c>
      <c r="B431" s="2">
        <v>532</v>
      </c>
    </row>
    <row r="432" spans="1:2" x14ac:dyDescent="0.2">
      <c r="A432" s="2" t="s">
        <v>37</v>
      </c>
      <c r="B432" s="2">
        <v>532</v>
      </c>
    </row>
    <row r="433" spans="1:2" x14ac:dyDescent="0.2">
      <c r="A433" s="2" t="s">
        <v>37</v>
      </c>
      <c r="B433" s="2">
        <v>532</v>
      </c>
    </row>
    <row r="434" spans="1:2" x14ac:dyDescent="0.2">
      <c r="A434" s="2" t="s">
        <v>37</v>
      </c>
      <c r="B434" s="2">
        <v>532</v>
      </c>
    </row>
    <row r="435" spans="1:2" x14ac:dyDescent="0.2">
      <c r="A435" s="2" t="s">
        <v>37</v>
      </c>
      <c r="B435" s="2">
        <v>532</v>
      </c>
    </row>
    <row r="436" spans="1:2" x14ac:dyDescent="0.2">
      <c r="A436" s="2" t="s">
        <v>37</v>
      </c>
      <c r="B436" s="2">
        <v>532</v>
      </c>
    </row>
    <row r="437" spans="1:2" x14ac:dyDescent="0.2">
      <c r="A437" s="2" t="s">
        <v>37</v>
      </c>
      <c r="B437" s="2">
        <v>532</v>
      </c>
    </row>
    <row r="438" spans="1:2" x14ac:dyDescent="0.2">
      <c r="A438" s="2" t="s">
        <v>37</v>
      </c>
      <c r="B438" s="2">
        <v>532</v>
      </c>
    </row>
    <row r="439" spans="1:2" x14ac:dyDescent="0.2">
      <c r="A439" s="2" t="s">
        <v>37</v>
      </c>
      <c r="B439" s="2">
        <v>532</v>
      </c>
    </row>
    <row r="440" spans="1:2" x14ac:dyDescent="0.2">
      <c r="A440" s="2" t="s">
        <v>37</v>
      </c>
      <c r="B440" s="2">
        <v>528</v>
      </c>
    </row>
    <row r="441" spans="1:2" x14ac:dyDescent="0.2">
      <c r="A441" s="2" t="s">
        <v>37</v>
      </c>
      <c r="B441" s="2">
        <v>532</v>
      </c>
    </row>
    <row r="442" spans="1:2" x14ac:dyDescent="0.2">
      <c r="A442" s="2" t="s">
        <v>37</v>
      </c>
      <c r="B442" s="2">
        <v>532</v>
      </c>
    </row>
    <row r="443" spans="1:2" x14ac:dyDescent="0.2">
      <c r="A443" s="2" t="s">
        <v>37</v>
      </c>
      <c r="B443" s="2">
        <v>532</v>
      </c>
    </row>
    <row r="444" spans="1:2" x14ac:dyDescent="0.2">
      <c r="A444" s="2" t="s">
        <v>37</v>
      </c>
      <c r="B444" s="2">
        <v>528</v>
      </c>
    </row>
    <row r="445" spans="1:2" x14ac:dyDescent="0.2">
      <c r="A445" s="2" t="s">
        <v>37</v>
      </c>
      <c r="B445" s="2">
        <v>532</v>
      </c>
    </row>
    <row r="446" spans="1:2" x14ac:dyDescent="0.2">
      <c r="A446" s="2" t="s">
        <v>37</v>
      </c>
      <c r="B446" s="2">
        <v>532</v>
      </c>
    </row>
    <row r="447" spans="1:2" x14ac:dyDescent="0.2">
      <c r="A447" s="2" t="s">
        <v>37</v>
      </c>
      <c r="B447" s="2">
        <v>532</v>
      </c>
    </row>
    <row r="448" spans="1:2" x14ac:dyDescent="0.2">
      <c r="A448" s="2" t="s">
        <v>37</v>
      </c>
      <c r="B448" s="2">
        <v>532</v>
      </c>
    </row>
    <row r="449" spans="1:2" x14ac:dyDescent="0.2">
      <c r="A449" s="2" t="s">
        <v>37</v>
      </c>
      <c r="B449" s="2">
        <v>532</v>
      </c>
    </row>
    <row r="450" spans="1:2" x14ac:dyDescent="0.2">
      <c r="A450" s="2" t="s">
        <v>37</v>
      </c>
      <c r="B450" s="2">
        <v>532</v>
      </c>
    </row>
    <row r="451" spans="1:2" x14ac:dyDescent="0.2">
      <c r="A451" s="2" t="s">
        <v>37</v>
      </c>
      <c r="B451" s="2">
        <v>532</v>
      </c>
    </row>
    <row r="452" spans="1:2" x14ac:dyDescent="0.2">
      <c r="A452" s="2" t="s">
        <v>37</v>
      </c>
      <c r="B452" s="2">
        <v>532</v>
      </c>
    </row>
    <row r="453" spans="1:2" x14ac:dyDescent="0.2">
      <c r="A453" s="2" t="s">
        <v>37</v>
      </c>
      <c r="B453" s="2">
        <v>528</v>
      </c>
    </row>
    <row r="454" spans="1:2" x14ac:dyDescent="0.2">
      <c r="A454" s="2" t="s">
        <v>37</v>
      </c>
      <c r="B454" s="2">
        <v>532</v>
      </c>
    </row>
    <row r="455" spans="1:2" x14ac:dyDescent="0.2">
      <c r="A455" s="2" t="s">
        <v>37</v>
      </c>
      <c r="B455" s="2">
        <v>532</v>
      </c>
    </row>
    <row r="456" spans="1:2" x14ac:dyDescent="0.2">
      <c r="A456" s="2" t="s">
        <v>37</v>
      </c>
      <c r="B456" s="2">
        <v>532</v>
      </c>
    </row>
    <row r="457" spans="1:2" x14ac:dyDescent="0.2">
      <c r="A457" s="2" t="s">
        <v>37</v>
      </c>
      <c r="B457" s="2">
        <v>532</v>
      </c>
    </row>
    <row r="458" spans="1:2" x14ac:dyDescent="0.2">
      <c r="A458" s="2" t="s">
        <v>37</v>
      </c>
      <c r="B458" s="2">
        <v>532</v>
      </c>
    </row>
    <row r="459" spans="1:2" x14ac:dyDescent="0.2">
      <c r="A459" s="2" t="s">
        <v>37</v>
      </c>
      <c r="B459" s="2">
        <v>532</v>
      </c>
    </row>
    <row r="460" spans="1:2" x14ac:dyDescent="0.2">
      <c r="A460" s="2" t="s">
        <v>37</v>
      </c>
      <c r="B460" s="2">
        <v>528</v>
      </c>
    </row>
    <row r="461" spans="1:2" x14ac:dyDescent="0.2">
      <c r="A461" s="2" t="s">
        <v>37</v>
      </c>
      <c r="B461" s="2">
        <v>532</v>
      </c>
    </row>
    <row r="462" spans="1:2" x14ac:dyDescent="0.2">
      <c r="A462" s="2" t="s">
        <v>37</v>
      </c>
      <c r="B462" s="2">
        <v>532</v>
      </c>
    </row>
    <row r="463" spans="1:2" x14ac:dyDescent="0.2">
      <c r="A463" s="2" t="s">
        <v>37</v>
      </c>
      <c r="B463" s="2">
        <v>532</v>
      </c>
    </row>
    <row r="464" spans="1:2" x14ac:dyDescent="0.2">
      <c r="A464" s="2" t="s">
        <v>37</v>
      </c>
      <c r="B464" s="2">
        <v>532</v>
      </c>
    </row>
    <row r="465" spans="1:2" x14ac:dyDescent="0.2">
      <c r="A465" s="2" t="s">
        <v>37</v>
      </c>
      <c r="B465" s="2">
        <v>532</v>
      </c>
    </row>
    <row r="466" spans="1:2" x14ac:dyDescent="0.2">
      <c r="A466" s="2" t="s">
        <v>37</v>
      </c>
      <c r="B466" s="2">
        <v>532</v>
      </c>
    </row>
    <row r="467" spans="1:2" x14ac:dyDescent="0.2">
      <c r="A467" s="2" t="s">
        <v>37</v>
      </c>
      <c r="B467" s="2">
        <v>532</v>
      </c>
    </row>
    <row r="468" spans="1:2" x14ac:dyDescent="0.2">
      <c r="A468" s="2" t="s">
        <v>37</v>
      </c>
      <c r="B468" s="2">
        <v>532</v>
      </c>
    </row>
    <row r="469" spans="1:2" x14ac:dyDescent="0.2">
      <c r="A469" s="2" t="s">
        <v>37</v>
      </c>
      <c r="B469" s="2">
        <v>532</v>
      </c>
    </row>
    <row r="470" spans="1:2" x14ac:dyDescent="0.2">
      <c r="A470" s="2" t="s">
        <v>37</v>
      </c>
      <c r="B470" s="2">
        <v>532</v>
      </c>
    </row>
    <row r="471" spans="1:2" x14ac:dyDescent="0.2">
      <c r="A471" s="2" t="s">
        <v>37</v>
      </c>
      <c r="B471" s="2">
        <v>532</v>
      </c>
    </row>
    <row r="472" spans="1:2" x14ac:dyDescent="0.2">
      <c r="A472" s="2" t="s">
        <v>37</v>
      </c>
      <c r="B472" s="2">
        <v>532</v>
      </c>
    </row>
    <row r="473" spans="1:2" x14ac:dyDescent="0.2">
      <c r="A473" s="2" t="s">
        <v>37</v>
      </c>
      <c r="B473" s="2">
        <v>532</v>
      </c>
    </row>
    <row r="474" spans="1:2" x14ac:dyDescent="0.2">
      <c r="A474" s="2" t="s">
        <v>37</v>
      </c>
      <c r="B474" s="2">
        <v>532</v>
      </c>
    </row>
    <row r="475" spans="1:2" x14ac:dyDescent="0.2">
      <c r="A475" s="2" t="s">
        <v>37</v>
      </c>
      <c r="B475" s="2">
        <v>532</v>
      </c>
    </row>
    <row r="476" spans="1:2" x14ac:dyDescent="0.2">
      <c r="A476" s="2" t="s">
        <v>37</v>
      </c>
      <c r="B476" s="2">
        <v>532</v>
      </c>
    </row>
    <row r="477" spans="1:2" x14ac:dyDescent="0.2">
      <c r="A477" s="2" t="s">
        <v>37</v>
      </c>
      <c r="B477" s="2">
        <v>532</v>
      </c>
    </row>
    <row r="478" spans="1:2" x14ac:dyDescent="0.2">
      <c r="A478" s="2" t="s">
        <v>37</v>
      </c>
      <c r="B478" s="2">
        <v>532</v>
      </c>
    </row>
    <row r="479" spans="1:2" x14ac:dyDescent="0.2">
      <c r="A479" s="2" t="s">
        <v>37</v>
      </c>
      <c r="B479" s="2">
        <v>532</v>
      </c>
    </row>
    <row r="480" spans="1:2" x14ac:dyDescent="0.2">
      <c r="A480" s="2" t="s">
        <v>37</v>
      </c>
      <c r="B480" s="2">
        <v>532</v>
      </c>
    </row>
    <row r="481" spans="1:2" x14ac:dyDescent="0.2">
      <c r="A481" s="2" t="s">
        <v>37</v>
      </c>
      <c r="B481" s="2">
        <v>532</v>
      </c>
    </row>
    <row r="482" spans="1:2" x14ac:dyDescent="0.2">
      <c r="A482" s="2" t="s">
        <v>37</v>
      </c>
      <c r="B482" s="2">
        <v>532</v>
      </c>
    </row>
    <row r="483" spans="1:2" x14ac:dyDescent="0.2">
      <c r="A483" s="2" t="s">
        <v>37</v>
      </c>
      <c r="B483" s="2">
        <v>532</v>
      </c>
    </row>
    <row r="484" spans="1:2" x14ac:dyDescent="0.2">
      <c r="A484" s="2" t="s">
        <v>37</v>
      </c>
      <c r="B484" s="2">
        <v>532</v>
      </c>
    </row>
    <row r="485" spans="1:2" x14ac:dyDescent="0.2">
      <c r="A485" s="2" t="s">
        <v>37</v>
      </c>
      <c r="B485" s="2">
        <v>532</v>
      </c>
    </row>
    <row r="486" spans="1:2" x14ac:dyDescent="0.2">
      <c r="A486" s="2" t="s">
        <v>37</v>
      </c>
      <c r="B486" s="2">
        <v>532</v>
      </c>
    </row>
    <row r="487" spans="1:2" x14ac:dyDescent="0.2">
      <c r="A487" s="2" t="s">
        <v>37</v>
      </c>
      <c r="B487" s="2">
        <v>532</v>
      </c>
    </row>
    <row r="488" spans="1:2" x14ac:dyDescent="0.2">
      <c r="A488" s="2" t="s">
        <v>37</v>
      </c>
      <c r="B488" s="2">
        <v>528</v>
      </c>
    </row>
    <row r="489" spans="1:2" x14ac:dyDescent="0.2">
      <c r="A489" s="2" t="s">
        <v>37</v>
      </c>
      <c r="B489" s="2">
        <v>532</v>
      </c>
    </row>
    <row r="490" spans="1:2" x14ac:dyDescent="0.2">
      <c r="A490" s="2" t="s">
        <v>37</v>
      </c>
      <c r="B490" s="2">
        <v>532</v>
      </c>
    </row>
    <row r="491" spans="1:2" x14ac:dyDescent="0.2">
      <c r="A491" s="2" t="s">
        <v>37</v>
      </c>
      <c r="B491" s="2">
        <v>532</v>
      </c>
    </row>
    <row r="492" spans="1:2" x14ac:dyDescent="0.2">
      <c r="A492" s="2" t="s">
        <v>37</v>
      </c>
      <c r="B492" s="2">
        <v>532</v>
      </c>
    </row>
    <row r="493" spans="1:2" x14ac:dyDescent="0.2">
      <c r="A493" s="2" t="s">
        <v>37</v>
      </c>
      <c r="B493" s="2">
        <v>532</v>
      </c>
    </row>
    <row r="494" spans="1:2" x14ac:dyDescent="0.2">
      <c r="A494" s="2" t="s">
        <v>37</v>
      </c>
      <c r="B494" s="2">
        <v>532</v>
      </c>
    </row>
    <row r="495" spans="1:2" x14ac:dyDescent="0.2">
      <c r="A495" s="2" t="s">
        <v>37</v>
      </c>
      <c r="B495" s="2">
        <v>532</v>
      </c>
    </row>
    <row r="496" spans="1:2" x14ac:dyDescent="0.2">
      <c r="A496" s="2" t="s">
        <v>37</v>
      </c>
      <c r="B496" s="2">
        <v>532</v>
      </c>
    </row>
    <row r="497" spans="1:2" x14ac:dyDescent="0.2">
      <c r="A497" s="2" t="s">
        <v>37</v>
      </c>
      <c r="B497" s="2">
        <v>532</v>
      </c>
    </row>
    <row r="498" spans="1:2" x14ac:dyDescent="0.2">
      <c r="A498" s="2" t="s">
        <v>37</v>
      </c>
      <c r="B498" s="2">
        <v>528</v>
      </c>
    </row>
    <row r="499" spans="1:2" x14ac:dyDescent="0.2">
      <c r="A499" s="2" t="s">
        <v>37</v>
      </c>
      <c r="B499" s="2">
        <v>532</v>
      </c>
    </row>
    <row r="500" spans="1:2" x14ac:dyDescent="0.2">
      <c r="A500" s="2" t="s">
        <v>37</v>
      </c>
      <c r="B500" s="2">
        <v>532</v>
      </c>
    </row>
    <row r="501" spans="1:2" x14ac:dyDescent="0.2">
      <c r="A501" s="2" t="s">
        <v>37</v>
      </c>
      <c r="B501" s="2">
        <v>532</v>
      </c>
    </row>
    <row r="502" spans="1:2" x14ac:dyDescent="0.2">
      <c r="A502" s="2" t="s">
        <v>37</v>
      </c>
      <c r="B502" s="2">
        <v>528</v>
      </c>
    </row>
    <row r="503" spans="1:2" x14ac:dyDescent="0.2">
      <c r="A503" s="2" t="s">
        <v>37</v>
      </c>
      <c r="B503" s="2">
        <v>532</v>
      </c>
    </row>
    <row r="504" spans="1:2" x14ac:dyDescent="0.2">
      <c r="A504" s="2" t="s">
        <v>37</v>
      </c>
      <c r="B504" s="2">
        <v>532</v>
      </c>
    </row>
    <row r="505" spans="1:2" x14ac:dyDescent="0.2">
      <c r="A505" s="2" t="s">
        <v>37</v>
      </c>
      <c r="B505" s="2">
        <v>528</v>
      </c>
    </row>
    <row r="506" spans="1:2" x14ac:dyDescent="0.2">
      <c r="A506" s="2" t="s">
        <v>37</v>
      </c>
      <c r="B506" s="2">
        <v>528</v>
      </c>
    </row>
    <row r="507" spans="1:2" x14ac:dyDescent="0.2">
      <c r="A507" s="2" t="s">
        <v>37</v>
      </c>
      <c r="B507" s="2">
        <v>532</v>
      </c>
    </row>
    <row r="508" spans="1:2" x14ac:dyDescent="0.2">
      <c r="A508" s="2" t="s">
        <v>37</v>
      </c>
      <c r="B508" s="2">
        <v>532</v>
      </c>
    </row>
    <row r="509" spans="1:2" x14ac:dyDescent="0.2">
      <c r="A509" s="2" t="s">
        <v>37</v>
      </c>
      <c r="B509" s="2">
        <v>532</v>
      </c>
    </row>
    <row r="510" spans="1:2" x14ac:dyDescent="0.2">
      <c r="A510" s="2" t="s">
        <v>37</v>
      </c>
      <c r="B510" s="2">
        <v>532</v>
      </c>
    </row>
    <row r="511" spans="1:2" x14ac:dyDescent="0.2">
      <c r="A511" s="2" t="s">
        <v>37</v>
      </c>
      <c r="B511" s="2">
        <v>532</v>
      </c>
    </row>
    <row r="512" spans="1:2" x14ac:dyDescent="0.2">
      <c r="A512" s="2" t="s">
        <v>37</v>
      </c>
      <c r="B512" s="2">
        <v>532</v>
      </c>
    </row>
    <row r="513" spans="1:3" x14ac:dyDescent="0.2">
      <c r="A513" s="2" t="s">
        <v>37</v>
      </c>
      <c r="B513" s="2">
        <v>528</v>
      </c>
    </row>
    <row r="514" spans="1:3" x14ac:dyDescent="0.2">
      <c r="A514" s="2" t="s">
        <v>37</v>
      </c>
      <c r="B514" s="2">
        <v>532</v>
      </c>
    </row>
    <row r="515" spans="1:3" x14ac:dyDescent="0.2">
      <c r="A515" s="2" t="s">
        <v>37</v>
      </c>
      <c r="B515" s="2">
        <v>532</v>
      </c>
    </row>
    <row r="516" spans="1:3" x14ac:dyDescent="0.2">
      <c r="A516" s="2" t="s">
        <v>37</v>
      </c>
      <c r="B516" s="2">
        <v>532</v>
      </c>
    </row>
    <row r="517" spans="1:3" x14ac:dyDescent="0.2">
      <c r="A517" s="2" t="s">
        <v>37</v>
      </c>
      <c r="B517" s="2">
        <v>532</v>
      </c>
    </row>
    <row r="518" spans="1:3" x14ac:dyDescent="0.2">
      <c r="A518" s="2" t="s">
        <v>37</v>
      </c>
      <c r="B518" s="2">
        <v>532</v>
      </c>
    </row>
    <row r="519" spans="1:3" x14ac:dyDescent="0.2">
      <c r="A519" s="2"/>
      <c r="B519" s="2">
        <f>AVERAGE(B419:B518)</f>
        <v>531.6</v>
      </c>
      <c r="C519" s="1">
        <f>B519/C1</f>
        <v>0.88600000000000001</v>
      </c>
    </row>
    <row r="520" spans="1:3" x14ac:dyDescent="0.2">
      <c r="A520" s="2"/>
      <c r="B520" s="2"/>
    </row>
    <row r="521" spans="1:3" x14ac:dyDescent="0.2">
      <c r="A521" s="2"/>
      <c r="B521" s="2"/>
    </row>
    <row r="522" spans="1:3" x14ac:dyDescent="0.2">
      <c r="A522" s="2"/>
      <c r="B522" s="2"/>
    </row>
    <row r="523" spans="1:3" x14ac:dyDescent="0.2">
      <c r="A523" s="2" t="s">
        <v>38</v>
      </c>
      <c r="B523" s="2">
        <v>532</v>
      </c>
    </row>
    <row r="524" spans="1:3" x14ac:dyDescent="0.2">
      <c r="A524" s="2" t="s">
        <v>38</v>
      </c>
      <c r="B524" s="2">
        <v>532</v>
      </c>
    </row>
    <row r="525" spans="1:3" x14ac:dyDescent="0.2">
      <c r="A525" s="2" t="s">
        <v>38</v>
      </c>
      <c r="B525" s="2">
        <v>532</v>
      </c>
    </row>
    <row r="526" spans="1:3" x14ac:dyDescent="0.2">
      <c r="A526" s="2" t="s">
        <v>38</v>
      </c>
      <c r="B526" s="2">
        <v>532</v>
      </c>
    </row>
    <row r="527" spans="1:3" x14ac:dyDescent="0.2">
      <c r="A527" s="2" t="s">
        <v>38</v>
      </c>
      <c r="B527" s="2">
        <v>532</v>
      </c>
    </row>
    <row r="528" spans="1:3" x14ac:dyDescent="0.2">
      <c r="A528" s="2" t="s">
        <v>38</v>
      </c>
      <c r="B528" s="2">
        <v>532</v>
      </c>
    </row>
    <row r="529" spans="1:2" x14ac:dyDescent="0.2">
      <c r="A529" s="2" t="s">
        <v>38</v>
      </c>
      <c r="B529" s="2">
        <v>528</v>
      </c>
    </row>
    <row r="530" spans="1:2" x14ac:dyDescent="0.2">
      <c r="A530" s="2" t="s">
        <v>38</v>
      </c>
      <c r="B530" s="2">
        <v>528</v>
      </c>
    </row>
    <row r="531" spans="1:2" x14ac:dyDescent="0.2">
      <c r="A531" s="2" t="s">
        <v>38</v>
      </c>
      <c r="B531" s="2">
        <v>532</v>
      </c>
    </row>
    <row r="532" spans="1:2" x14ac:dyDescent="0.2">
      <c r="A532" s="2" t="s">
        <v>38</v>
      </c>
      <c r="B532" s="2">
        <v>532</v>
      </c>
    </row>
    <row r="533" spans="1:2" x14ac:dyDescent="0.2">
      <c r="A533" s="2" t="s">
        <v>38</v>
      </c>
      <c r="B533" s="2">
        <v>528</v>
      </c>
    </row>
    <row r="534" spans="1:2" x14ac:dyDescent="0.2">
      <c r="A534" s="2" t="s">
        <v>38</v>
      </c>
      <c r="B534" s="2">
        <v>532</v>
      </c>
    </row>
    <row r="535" spans="1:2" x14ac:dyDescent="0.2">
      <c r="A535" s="2" t="s">
        <v>38</v>
      </c>
      <c r="B535" s="2">
        <v>528</v>
      </c>
    </row>
    <row r="536" spans="1:2" x14ac:dyDescent="0.2">
      <c r="A536" s="2" t="s">
        <v>38</v>
      </c>
      <c r="B536" s="2">
        <v>532</v>
      </c>
    </row>
    <row r="537" spans="1:2" x14ac:dyDescent="0.2">
      <c r="A537" s="2" t="s">
        <v>38</v>
      </c>
      <c r="B537" s="2">
        <v>532</v>
      </c>
    </row>
    <row r="538" spans="1:2" x14ac:dyDescent="0.2">
      <c r="A538" s="2" t="s">
        <v>38</v>
      </c>
      <c r="B538" s="2">
        <v>532</v>
      </c>
    </row>
    <row r="539" spans="1:2" x14ac:dyDescent="0.2">
      <c r="A539" s="2" t="s">
        <v>38</v>
      </c>
      <c r="B539" s="2">
        <v>532</v>
      </c>
    </row>
    <row r="540" spans="1:2" x14ac:dyDescent="0.2">
      <c r="A540" s="2" t="s">
        <v>38</v>
      </c>
      <c r="B540" s="2">
        <v>532</v>
      </c>
    </row>
    <row r="541" spans="1:2" x14ac:dyDescent="0.2">
      <c r="A541" s="2" t="s">
        <v>38</v>
      </c>
      <c r="B541" s="2">
        <v>532</v>
      </c>
    </row>
    <row r="542" spans="1:2" x14ac:dyDescent="0.2">
      <c r="A542" s="2" t="s">
        <v>38</v>
      </c>
      <c r="B542" s="2">
        <v>532</v>
      </c>
    </row>
    <row r="543" spans="1:2" x14ac:dyDescent="0.2">
      <c r="A543" s="2" t="s">
        <v>38</v>
      </c>
      <c r="B543" s="2">
        <v>532</v>
      </c>
    </row>
    <row r="544" spans="1:2" x14ac:dyDescent="0.2">
      <c r="A544" s="2" t="s">
        <v>38</v>
      </c>
      <c r="B544" s="2">
        <v>532</v>
      </c>
    </row>
    <row r="545" spans="1:2" x14ac:dyDescent="0.2">
      <c r="A545" s="2" t="s">
        <v>38</v>
      </c>
      <c r="B545" s="2">
        <v>532</v>
      </c>
    </row>
    <row r="546" spans="1:2" x14ac:dyDescent="0.2">
      <c r="A546" s="2" t="s">
        <v>38</v>
      </c>
      <c r="B546" s="2">
        <v>532</v>
      </c>
    </row>
    <row r="547" spans="1:2" x14ac:dyDescent="0.2">
      <c r="A547" s="2" t="s">
        <v>38</v>
      </c>
      <c r="B547" s="2">
        <v>528</v>
      </c>
    </row>
    <row r="548" spans="1:2" x14ac:dyDescent="0.2">
      <c r="A548" s="2" t="s">
        <v>38</v>
      </c>
      <c r="B548" s="2">
        <v>532</v>
      </c>
    </row>
    <row r="549" spans="1:2" x14ac:dyDescent="0.2">
      <c r="A549" s="2" t="s">
        <v>38</v>
      </c>
      <c r="B549" s="2">
        <v>528</v>
      </c>
    </row>
    <row r="550" spans="1:2" x14ac:dyDescent="0.2">
      <c r="A550" s="2" t="s">
        <v>38</v>
      </c>
      <c r="B550" s="2">
        <v>532</v>
      </c>
    </row>
    <row r="551" spans="1:2" x14ac:dyDescent="0.2">
      <c r="A551" s="2" t="s">
        <v>38</v>
      </c>
      <c r="B551" s="2">
        <v>532</v>
      </c>
    </row>
    <row r="552" spans="1:2" x14ac:dyDescent="0.2">
      <c r="A552" s="2" t="s">
        <v>38</v>
      </c>
      <c r="B552" s="2">
        <v>532</v>
      </c>
    </row>
    <row r="553" spans="1:2" x14ac:dyDescent="0.2">
      <c r="A553" s="2" t="s">
        <v>38</v>
      </c>
      <c r="B553" s="2">
        <v>532</v>
      </c>
    </row>
    <row r="554" spans="1:2" x14ac:dyDescent="0.2">
      <c r="A554" s="2" t="s">
        <v>38</v>
      </c>
      <c r="B554" s="2">
        <v>528</v>
      </c>
    </row>
    <row r="555" spans="1:2" x14ac:dyDescent="0.2">
      <c r="A555" s="2" t="s">
        <v>38</v>
      </c>
      <c r="B555" s="2">
        <v>532</v>
      </c>
    </row>
    <row r="556" spans="1:2" x14ac:dyDescent="0.2">
      <c r="A556" s="2" t="s">
        <v>38</v>
      </c>
      <c r="B556" s="2">
        <v>532</v>
      </c>
    </row>
    <row r="557" spans="1:2" x14ac:dyDescent="0.2">
      <c r="A557" s="2" t="s">
        <v>38</v>
      </c>
      <c r="B557" s="2">
        <v>532</v>
      </c>
    </row>
    <row r="558" spans="1:2" x14ac:dyDescent="0.2">
      <c r="A558" s="2" t="s">
        <v>38</v>
      </c>
      <c r="B558" s="2">
        <v>528</v>
      </c>
    </row>
    <row r="559" spans="1:2" x14ac:dyDescent="0.2">
      <c r="A559" s="2" t="s">
        <v>38</v>
      </c>
      <c r="B559" s="2">
        <v>532</v>
      </c>
    </row>
    <row r="560" spans="1:2" x14ac:dyDescent="0.2">
      <c r="A560" s="2" t="s">
        <v>38</v>
      </c>
      <c r="B560" s="2">
        <v>532</v>
      </c>
    </row>
    <row r="561" spans="1:2" x14ac:dyDescent="0.2">
      <c r="A561" s="2" t="s">
        <v>38</v>
      </c>
      <c r="B561" s="2">
        <v>532</v>
      </c>
    </row>
    <row r="562" spans="1:2" x14ac:dyDescent="0.2">
      <c r="A562" s="2" t="s">
        <v>38</v>
      </c>
      <c r="B562" s="2">
        <v>532</v>
      </c>
    </row>
    <row r="563" spans="1:2" x14ac:dyDescent="0.2">
      <c r="A563" s="2" t="s">
        <v>38</v>
      </c>
      <c r="B563" s="2">
        <v>532</v>
      </c>
    </row>
    <row r="564" spans="1:2" x14ac:dyDescent="0.2">
      <c r="A564" s="2" t="s">
        <v>38</v>
      </c>
      <c r="B564" s="2">
        <v>532</v>
      </c>
    </row>
    <row r="565" spans="1:2" x14ac:dyDescent="0.2">
      <c r="A565" s="2" t="s">
        <v>38</v>
      </c>
      <c r="B565" s="2">
        <v>532</v>
      </c>
    </row>
    <row r="566" spans="1:2" x14ac:dyDescent="0.2">
      <c r="A566" s="2" t="s">
        <v>38</v>
      </c>
      <c r="B566" s="2">
        <v>532</v>
      </c>
    </row>
    <row r="567" spans="1:2" x14ac:dyDescent="0.2">
      <c r="A567" s="2" t="s">
        <v>38</v>
      </c>
      <c r="B567" s="2">
        <v>532</v>
      </c>
    </row>
    <row r="568" spans="1:2" x14ac:dyDescent="0.2">
      <c r="A568" s="2" t="s">
        <v>38</v>
      </c>
      <c r="B568" s="2">
        <v>532</v>
      </c>
    </row>
    <row r="569" spans="1:2" x14ac:dyDescent="0.2">
      <c r="A569" s="2" t="s">
        <v>38</v>
      </c>
      <c r="B569" s="2">
        <v>528</v>
      </c>
    </row>
    <row r="570" spans="1:2" x14ac:dyDescent="0.2">
      <c r="A570" s="2" t="s">
        <v>38</v>
      </c>
      <c r="B570" s="2">
        <v>532</v>
      </c>
    </row>
    <row r="571" spans="1:2" x14ac:dyDescent="0.2">
      <c r="A571" s="2" t="s">
        <v>38</v>
      </c>
      <c r="B571" s="2">
        <v>532</v>
      </c>
    </row>
    <row r="572" spans="1:2" x14ac:dyDescent="0.2">
      <c r="A572" s="2" t="s">
        <v>38</v>
      </c>
      <c r="B572" s="2">
        <v>528</v>
      </c>
    </row>
    <row r="573" spans="1:2" x14ac:dyDescent="0.2">
      <c r="A573" s="2" t="s">
        <v>38</v>
      </c>
      <c r="B573" s="2">
        <v>528</v>
      </c>
    </row>
    <row r="574" spans="1:2" x14ac:dyDescent="0.2">
      <c r="A574" s="2" t="s">
        <v>38</v>
      </c>
      <c r="B574" s="2">
        <v>532</v>
      </c>
    </row>
    <row r="575" spans="1:2" x14ac:dyDescent="0.2">
      <c r="A575" s="2" t="s">
        <v>38</v>
      </c>
      <c r="B575" s="2">
        <v>532</v>
      </c>
    </row>
    <row r="576" spans="1:2" x14ac:dyDescent="0.2">
      <c r="A576" s="2" t="s">
        <v>38</v>
      </c>
      <c r="B576" s="2">
        <v>532</v>
      </c>
    </row>
    <row r="577" spans="1:2" x14ac:dyDescent="0.2">
      <c r="A577" s="2" t="s">
        <v>38</v>
      </c>
      <c r="B577" s="2">
        <v>528</v>
      </c>
    </row>
    <row r="578" spans="1:2" x14ac:dyDescent="0.2">
      <c r="A578" s="2" t="s">
        <v>38</v>
      </c>
      <c r="B578" s="2">
        <v>528</v>
      </c>
    </row>
    <row r="579" spans="1:2" x14ac:dyDescent="0.2">
      <c r="A579" s="2" t="s">
        <v>38</v>
      </c>
      <c r="B579" s="2">
        <v>532</v>
      </c>
    </row>
    <row r="580" spans="1:2" x14ac:dyDescent="0.2">
      <c r="A580" s="2" t="s">
        <v>38</v>
      </c>
      <c r="B580" s="2">
        <v>528</v>
      </c>
    </row>
    <row r="581" spans="1:2" x14ac:dyDescent="0.2">
      <c r="A581" s="2" t="s">
        <v>38</v>
      </c>
      <c r="B581" s="2">
        <v>532</v>
      </c>
    </row>
    <row r="582" spans="1:2" x14ac:dyDescent="0.2">
      <c r="A582" s="2" t="s">
        <v>38</v>
      </c>
      <c r="B582" s="2">
        <v>528</v>
      </c>
    </row>
    <row r="583" spans="1:2" x14ac:dyDescent="0.2">
      <c r="A583" s="2" t="s">
        <v>38</v>
      </c>
      <c r="B583" s="2">
        <v>528</v>
      </c>
    </row>
    <row r="584" spans="1:2" x14ac:dyDescent="0.2">
      <c r="A584" s="2" t="s">
        <v>38</v>
      </c>
      <c r="B584" s="2">
        <v>532</v>
      </c>
    </row>
    <row r="585" spans="1:2" x14ac:dyDescent="0.2">
      <c r="A585" s="2" t="s">
        <v>38</v>
      </c>
      <c r="B585" s="2">
        <v>532</v>
      </c>
    </row>
    <row r="586" spans="1:2" x14ac:dyDescent="0.2">
      <c r="A586" s="2" t="s">
        <v>38</v>
      </c>
      <c r="B586" s="2">
        <v>532</v>
      </c>
    </row>
    <row r="587" spans="1:2" x14ac:dyDescent="0.2">
      <c r="A587" s="2" t="s">
        <v>38</v>
      </c>
      <c r="B587" s="2">
        <v>528</v>
      </c>
    </row>
    <row r="588" spans="1:2" x14ac:dyDescent="0.2">
      <c r="A588" s="2" t="s">
        <v>38</v>
      </c>
      <c r="B588" s="2">
        <v>532</v>
      </c>
    </row>
    <row r="589" spans="1:2" x14ac:dyDescent="0.2">
      <c r="A589" s="2" t="s">
        <v>38</v>
      </c>
      <c r="B589" s="2">
        <v>532</v>
      </c>
    </row>
    <row r="590" spans="1:2" x14ac:dyDescent="0.2">
      <c r="A590" s="2" t="s">
        <v>38</v>
      </c>
      <c r="B590" s="2">
        <v>528</v>
      </c>
    </row>
    <row r="591" spans="1:2" x14ac:dyDescent="0.2">
      <c r="A591" s="2" t="s">
        <v>38</v>
      </c>
      <c r="B591" s="2">
        <v>532</v>
      </c>
    </row>
    <row r="592" spans="1:2" x14ac:dyDescent="0.2">
      <c r="A592" s="2" t="s">
        <v>38</v>
      </c>
      <c r="B592" s="2">
        <v>532</v>
      </c>
    </row>
    <row r="593" spans="1:2" x14ac:dyDescent="0.2">
      <c r="A593" s="2" t="s">
        <v>38</v>
      </c>
      <c r="B593" s="2">
        <v>528</v>
      </c>
    </row>
    <row r="594" spans="1:2" x14ac:dyDescent="0.2">
      <c r="A594" s="2" t="s">
        <v>38</v>
      </c>
      <c r="B594" s="2">
        <v>532</v>
      </c>
    </row>
    <row r="595" spans="1:2" x14ac:dyDescent="0.2">
      <c r="A595" s="2" t="s">
        <v>38</v>
      </c>
      <c r="B595" s="2">
        <v>532</v>
      </c>
    </row>
    <row r="596" spans="1:2" x14ac:dyDescent="0.2">
      <c r="A596" s="2" t="s">
        <v>38</v>
      </c>
      <c r="B596" s="2">
        <v>532</v>
      </c>
    </row>
    <row r="597" spans="1:2" x14ac:dyDescent="0.2">
      <c r="A597" s="2" t="s">
        <v>38</v>
      </c>
      <c r="B597" s="2">
        <v>532</v>
      </c>
    </row>
    <row r="598" spans="1:2" x14ac:dyDescent="0.2">
      <c r="A598" s="2" t="s">
        <v>38</v>
      </c>
      <c r="B598" s="2">
        <v>532</v>
      </c>
    </row>
    <row r="599" spans="1:2" x14ac:dyDescent="0.2">
      <c r="A599" s="2" t="s">
        <v>38</v>
      </c>
      <c r="B599" s="2">
        <v>532</v>
      </c>
    </row>
    <row r="600" spans="1:2" x14ac:dyDescent="0.2">
      <c r="A600" s="2" t="s">
        <v>38</v>
      </c>
      <c r="B600" s="2">
        <v>532</v>
      </c>
    </row>
    <row r="601" spans="1:2" x14ac:dyDescent="0.2">
      <c r="A601" s="2" t="s">
        <v>38</v>
      </c>
      <c r="B601" s="2">
        <v>532</v>
      </c>
    </row>
    <row r="602" spans="1:2" x14ac:dyDescent="0.2">
      <c r="A602" s="2" t="s">
        <v>38</v>
      </c>
      <c r="B602" s="2">
        <v>532</v>
      </c>
    </row>
    <row r="603" spans="1:2" x14ac:dyDescent="0.2">
      <c r="A603" s="2" t="s">
        <v>38</v>
      </c>
      <c r="B603" s="2">
        <v>532</v>
      </c>
    </row>
    <row r="604" spans="1:2" x14ac:dyDescent="0.2">
      <c r="A604" s="2" t="s">
        <v>38</v>
      </c>
      <c r="B604" s="2">
        <v>532</v>
      </c>
    </row>
    <row r="605" spans="1:2" x14ac:dyDescent="0.2">
      <c r="A605" s="2" t="s">
        <v>38</v>
      </c>
      <c r="B605" s="2">
        <v>528</v>
      </c>
    </row>
    <row r="606" spans="1:2" x14ac:dyDescent="0.2">
      <c r="A606" s="2" t="s">
        <v>38</v>
      </c>
      <c r="B606" s="2">
        <v>532</v>
      </c>
    </row>
    <row r="607" spans="1:2" x14ac:dyDescent="0.2">
      <c r="A607" s="2" t="s">
        <v>38</v>
      </c>
      <c r="B607" s="2">
        <v>532</v>
      </c>
    </row>
    <row r="608" spans="1:2" x14ac:dyDescent="0.2">
      <c r="A608" s="2" t="s">
        <v>38</v>
      </c>
      <c r="B608" s="2">
        <v>532</v>
      </c>
    </row>
    <row r="609" spans="1:3" x14ac:dyDescent="0.2">
      <c r="A609" s="2" t="s">
        <v>38</v>
      </c>
      <c r="B609" s="2">
        <v>532</v>
      </c>
    </row>
    <row r="610" spans="1:3" x14ac:dyDescent="0.2">
      <c r="A610" s="2" t="s">
        <v>38</v>
      </c>
      <c r="B610" s="2">
        <v>532</v>
      </c>
    </row>
    <row r="611" spans="1:3" x14ac:dyDescent="0.2">
      <c r="A611" s="2" t="s">
        <v>38</v>
      </c>
      <c r="B611" s="2">
        <v>532</v>
      </c>
    </row>
    <row r="612" spans="1:3" x14ac:dyDescent="0.2">
      <c r="A612" s="2" t="s">
        <v>38</v>
      </c>
      <c r="B612" s="2">
        <v>532</v>
      </c>
    </row>
    <row r="613" spans="1:3" x14ac:dyDescent="0.2">
      <c r="A613" s="2" t="s">
        <v>38</v>
      </c>
      <c r="B613" s="2">
        <v>528</v>
      </c>
    </row>
    <row r="614" spans="1:3" x14ac:dyDescent="0.2">
      <c r="A614" s="2" t="s">
        <v>38</v>
      </c>
      <c r="B614" s="2">
        <v>532</v>
      </c>
    </row>
    <row r="615" spans="1:3" x14ac:dyDescent="0.2">
      <c r="A615" s="2" t="s">
        <v>38</v>
      </c>
      <c r="B615" s="2">
        <v>532</v>
      </c>
    </row>
    <row r="616" spans="1:3" x14ac:dyDescent="0.2">
      <c r="A616" s="2" t="s">
        <v>38</v>
      </c>
      <c r="B616" s="2">
        <v>532</v>
      </c>
    </row>
    <row r="617" spans="1:3" x14ac:dyDescent="0.2">
      <c r="A617" s="2" t="s">
        <v>38</v>
      </c>
      <c r="B617" s="2">
        <v>532</v>
      </c>
    </row>
    <row r="618" spans="1:3" x14ac:dyDescent="0.2">
      <c r="A618" s="2" t="s">
        <v>38</v>
      </c>
      <c r="B618" s="2">
        <v>532</v>
      </c>
    </row>
    <row r="619" spans="1:3" x14ac:dyDescent="0.2">
      <c r="A619" s="2" t="s">
        <v>38</v>
      </c>
      <c r="B619" s="2">
        <v>532</v>
      </c>
    </row>
    <row r="620" spans="1:3" x14ac:dyDescent="0.2">
      <c r="A620" s="2" t="s">
        <v>38</v>
      </c>
      <c r="B620" s="2">
        <v>528</v>
      </c>
    </row>
    <row r="621" spans="1:3" x14ac:dyDescent="0.2">
      <c r="A621" s="2" t="s">
        <v>38</v>
      </c>
      <c r="B621" s="2">
        <v>532</v>
      </c>
    </row>
    <row r="622" spans="1:3" x14ac:dyDescent="0.2">
      <c r="A622" s="2" t="s">
        <v>38</v>
      </c>
      <c r="B622" s="2">
        <v>532</v>
      </c>
    </row>
    <row r="623" spans="1:3" x14ac:dyDescent="0.2">
      <c r="A623" s="2"/>
      <c r="B623" s="2">
        <f>AVERAGE(B523:B622)</f>
        <v>531.12</v>
      </c>
      <c r="C623" s="1">
        <f>B623/C1</f>
        <v>0.88519999999999999</v>
      </c>
    </row>
    <row r="624" spans="1:3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 t="s">
        <v>39</v>
      </c>
      <c r="B627" s="2">
        <v>532</v>
      </c>
    </row>
    <row r="628" spans="1:2" x14ac:dyDescent="0.2">
      <c r="A628" s="2" t="s">
        <v>39</v>
      </c>
      <c r="B628" s="2">
        <v>532</v>
      </c>
    </row>
    <row r="629" spans="1:2" x14ac:dyDescent="0.2">
      <c r="A629" s="2" t="s">
        <v>39</v>
      </c>
      <c r="B629" s="2">
        <v>532</v>
      </c>
    </row>
    <row r="630" spans="1:2" x14ac:dyDescent="0.2">
      <c r="A630" s="2" t="s">
        <v>39</v>
      </c>
      <c r="B630" s="2">
        <v>532</v>
      </c>
    </row>
    <row r="631" spans="1:2" x14ac:dyDescent="0.2">
      <c r="A631" s="2" t="s">
        <v>39</v>
      </c>
      <c r="B631" s="2">
        <v>532</v>
      </c>
    </row>
    <row r="632" spans="1:2" x14ac:dyDescent="0.2">
      <c r="A632" s="2" t="s">
        <v>39</v>
      </c>
      <c r="B632" s="2">
        <v>532</v>
      </c>
    </row>
    <row r="633" spans="1:2" x14ac:dyDescent="0.2">
      <c r="A633" s="2" t="s">
        <v>39</v>
      </c>
      <c r="B633" s="2">
        <v>532</v>
      </c>
    </row>
    <row r="634" spans="1:2" x14ac:dyDescent="0.2">
      <c r="A634" s="2" t="s">
        <v>39</v>
      </c>
      <c r="B634" s="2">
        <v>532</v>
      </c>
    </row>
    <row r="635" spans="1:2" x14ac:dyDescent="0.2">
      <c r="A635" s="2" t="s">
        <v>39</v>
      </c>
      <c r="B635" s="2">
        <v>532</v>
      </c>
    </row>
    <row r="636" spans="1:2" x14ac:dyDescent="0.2">
      <c r="A636" s="2" t="s">
        <v>39</v>
      </c>
      <c r="B636" s="2">
        <v>532</v>
      </c>
    </row>
    <row r="637" spans="1:2" x14ac:dyDescent="0.2">
      <c r="A637" s="2" t="s">
        <v>39</v>
      </c>
      <c r="B637" s="2">
        <v>532</v>
      </c>
    </row>
    <row r="638" spans="1:2" x14ac:dyDescent="0.2">
      <c r="A638" s="2" t="s">
        <v>39</v>
      </c>
      <c r="B638" s="2">
        <v>532</v>
      </c>
    </row>
    <row r="639" spans="1:2" x14ac:dyDescent="0.2">
      <c r="A639" s="2" t="s">
        <v>39</v>
      </c>
      <c r="B639" s="2">
        <v>532</v>
      </c>
    </row>
    <row r="640" spans="1:2" x14ac:dyDescent="0.2">
      <c r="A640" s="2" t="s">
        <v>39</v>
      </c>
      <c r="B640" s="2">
        <v>528</v>
      </c>
    </row>
    <row r="641" spans="1:2" x14ac:dyDescent="0.2">
      <c r="A641" s="2" t="s">
        <v>39</v>
      </c>
      <c r="B641" s="2">
        <v>528</v>
      </c>
    </row>
    <row r="642" spans="1:2" x14ac:dyDescent="0.2">
      <c r="A642" s="2" t="s">
        <v>39</v>
      </c>
      <c r="B642" s="2">
        <v>528</v>
      </c>
    </row>
    <row r="643" spans="1:2" x14ac:dyDescent="0.2">
      <c r="A643" s="2" t="s">
        <v>39</v>
      </c>
      <c r="B643" s="2">
        <v>528</v>
      </c>
    </row>
    <row r="644" spans="1:2" x14ac:dyDescent="0.2">
      <c r="A644" s="2" t="s">
        <v>39</v>
      </c>
      <c r="B644" s="2">
        <v>532</v>
      </c>
    </row>
    <row r="645" spans="1:2" x14ac:dyDescent="0.2">
      <c r="A645" s="2" t="s">
        <v>39</v>
      </c>
      <c r="B645" s="2">
        <v>532</v>
      </c>
    </row>
    <row r="646" spans="1:2" x14ac:dyDescent="0.2">
      <c r="A646" s="2" t="s">
        <v>39</v>
      </c>
      <c r="B646" s="2">
        <v>532</v>
      </c>
    </row>
    <row r="647" spans="1:2" x14ac:dyDescent="0.2">
      <c r="A647" s="2" t="s">
        <v>39</v>
      </c>
      <c r="B647" s="2">
        <v>532</v>
      </c>
    </row>
    <row r="648" spans="1:2" x14ac:dyDescent="0.2">
      <c r="A648" s="2" t="s">
        <v>39</v>
      </c>
      <c r="B648" s="2">
        <v>532</v>
      </c>
    </row>
    <row r="649" spans="1:2" x14ac:dyDescent="0.2">
      <c r="A649" s="2" t="s">
        <v>39</v>
      </c>
      <c r="B649" s="2">
        <v>532</v>
      </c>
    </row>
    <row r="650" spans="1:2" x14ac:dyDescent="0.2">
      <c r="A650" s="2" t="s">
        <v>39</v>
      </c>
      <c r="B650" s="2">
        <v>528</v>
      </c>
    </row>
    <row r="651" spans="1:2" x14ac:dyDescent="0.2">
      <c r="A651" s="2" t="s">
        <v>39</v>
      </c>
      <c r="B651" s="2">
        <v>532</v>
      </c>
    </row>
    <row r="652" spans="1:2" x14ac:dyDescent="0.2">
      <c r="A652" s="2" t="s">
        <v>39</v>
      </c>
      <c r="B652" s="2">
        <v>532</v>
      </c>
    </row>
    <row r="653" spans="1:2" x14ac:dyDescent="0.2">
      <c r="A653" s="2" t="s">
        <v>39</v>
      </c>
      <c r="B653" s="2">
        <v>532</v>
      </c>
    </row>
    <row r="654" spans="1:2" x14ac:dyDescent="0.2">
      <c r="A654" s="2" t="s">
        <v>39</v>
      </c>
      <c r="B654" s="2">
        <v>532</v>
      </c>
    </row>
    <row r="655" spans="1:2" x14ac:dyDescent="0.2">
      <c r="A655" s="2" t="s">
        <v>39</v>
      </c>
      <c r="B655" s="2">
        <v>532</v>
      </c>
    </row>
    <row r="656" spans="1:2" x14ac:dyDescent="0.2">
      <c r="A656" s="2" t="s">
        <v>39</v>
      </c>
      <c r="B656" s="2">
        <v>532</v>
      </c>
    </row>
    <row r="657" spans="1:2" x14ac:dyDescent="0.2">
      <c r="A657" s="2" t="s">
        <v>39</v>
      </c>
      <c r="B657" s="2">
        <v>532</v>
      </c>
    </row>
    <row r="658" spans="1:2" x14ac:dyDescent="0.2">
      <c r="A658" s="2" t="s">
        <v>39</v>
      </c>
      <c r="B658" s="2">
        <v>532</v>
      </c>
    </row>
    <row r="659" spans="1:2" x14ac:dyDescent="0.2">
      <c r="A659" s="2" t="s">
        <v>39</v>
      </c>
      <c r="B659" s="2">
        <v>532</v>
      </c>
    </row>
    <row r="660" spans="1:2" x14ac:dyDescent="0.2">
      <c r="A660" s="2" t="s">
        <v>39</v>
      </c>
      <c r="B660" s="2">
        <v>532</v>
      </c>
    </row>
    <row r="661" spans="1:2" x14ac:dyDescent="0.2">
      <c r="A661" s="2" t="s">
        <v>39</v>
      </c>
      <c r="B661" s="2">
        <v>532</v>
      </c>
    </row>
    <row r="662" spans="1:2" x14ac:dyDescent="0.2">
      <c r="A662" s="2" t="s">
        <v>39</v>
      </c>
      <c r="B662" s="2">
        <v>532</v>
      </c>
    </row>
    <row r="663" spans="1:2" x14ac:dyDescent="0.2">
      <c r="A663" s="2" t="s">
        <v>39</v>
      </c>
      <c r="B663" s="2">
        <v>528</v>
      </c>
    </row>
    <row r="664" spans="1:2" x14ac:dyDescent="0.2">
      <c r="A664" s="2" t="s">
        <v>39</v>
      </c>
      <c r="B664" s="2">
        <v>528</v>
      </c>
    </row>
    <row r="665" spans="1:2" x14ac:dyDescent="0.2">
      <c r="A665" s="2" t="s">
        <v>39</v>
      </c>
      <c r="B665" s="2">
        <v>532</v>
      </c>
    </row>
    <row r="666" spans="1:2" x14ac:dyDescent="0.2">
      <c r="A666" s="2" t="s">
        <v>39</v>
      </c>
      <c r="B666" s="2">
        <v>532</v>
      </c>
    </row>
    <row r="667" spans="1:2" x14ac:dyDescent="0.2">
      <c r="A667" s="2" t="s">
        <v>39</v>
      </c>
      <c r="B667" s="2">
        <v>532</v>
      </c>
    </row>
    <row r="668" spans="1:2" x14ac:dyDescent="0.2">
      <c r="A668" s="2" t="s">
        <v>39</v>
      </c>
      <c r="B668" s="2">
        <v>532</v>
      </c>
    </row>
    <row r="669" spans="1:2" x14ac:dyDescent="0.2">
      <c r="A669" s="2" t="s">
        <v>39</v>
      </c>
      <c r="B669" s="2">
        <v>528</v>
      </c>
    </row>
    <row r="670" spans="1:2" x14ac:dyDescent="0.2">
      <c r="A670" s="2" t="s">
        <v>39</v>
      </c>
      <c r="B670" s="2">
        <v>532</v>
      </c>
    </row>
    <row r="671" spans="1:2" x14ac:dyDescent="0.2">
      <c r="A671" s="2" t="s">
        <v>39</v>
      </c>
      <c r="B671" s="2">
        <v>532</v>
      </c>
    </row>
    <row r="672" spans="1:2" x14ac:dyDescent="0.2">
      <c r="A672" s="2" t="s">
        <v>39</v>
      </c>
      <c r="B672" s="2">
        <v>532</v>
      </c>
    </row>
    <row r="673" spans="1:2" x14ac:dyDescent="0.2">
      <c r="A673" s="2" t="s">
        <v>39</v>
      </c>
      <c r="B673" s="2">
        <v>532</v>
      </c>
    </row>
    <row r="674" spans="1:2" x14ac:dyDescent="0.2">
      <c r="A674" s="2" t="s">
        <v>39</v>
      </c>
      <c r="B674" s="2">
        <v>532</v>
      </c>
    </row>
    <row r="675" spans="1:2" x14ac:dyDescent="0.2">
      <c r="A675" s="2" t="s">
        <v>39</v>
      </c>
      <c r="B675" s="2">
        <v>532</v>
      </c>
    </row>
    <row r="676" spans="1:2" x14ac:dyDescent="0.2">
      <c r="A676" s="2" t="s">
        <v>39</v>
      </c>
      <c r="B676" s="2">
        <v>532</v>
      </c>
    </row>
    <row r="677" spans="1:2" x14ac:dyDescent="0.2">
      <c r="A677" s="2" t="s">
        <v>39</v>
      </c>
      <c r="B677" s="2">
        <v>532</v>
      </c>
    </row>
    <row r="678" spans="1:2" x14ac:dyDescent="0.2">
      <c r="A678" s="2" t="s">
        <v>39</v>
      </c>
      <c r="B678" s="2">
        <v>528</v>
      </c>
    </row>
    <row r="679" spans="1:2" x14ac:dyDescent="0.2">
      <c r="A679" s="2" t="s">
        <v>39</v>
      </c>
      <c r="B679" s="2">
        <v>532</v>
      </c>
    </row>
    <row r="680" spans="1:2" x14ac:dyDescent="0.2">
      <c r="A680" s="2" t="s">
        <v>39</v>
      </c>
      <c r="B680" s="2">
        <v>532</v>
      </c>
    </row>
    <row r="681" spans="1:2" x14ac:dyDescent="0.2">
      <c r="A681" s="2" t="s">
        <v>39</v>
      </c>
      <c r="B681" s="2">
        <v>532</v>
      </c>
    </row>
    <row r="682" spans="1:2" x14ac:dyDescent="0.2">
      <c r="A682" s="2" t="s">
        <v>39</v>
      </c>
      <c r="B682" s="2">
        <v>532</v>
      </c>
    </row>
    <row r="683" spans="1:2" x14ac:dyDescent="0.2">
      <c r="A683" s="2" t="s">
        <v>39</v>
      </c>
      <c r="B683" s="2">
        <v>532</v>
      </c>
    </row>
    <row r="684" spans="1:2" x14ac:dyDescent="0.2">
      <c r="A684" s="2" t="s">
        <v>39</v>
      </c>
      <c r="B684" s="2">
        <v>532</v>
      </c>
    </row>
    <row r="685" spans="1:2" x14ac:dyDescent="0.2">
      <c r="A685" s="2" t="s">
        <v>39</v>
      </c>
      <c r="B685" s="2">
        <v>532</v>
      </c>
    </row>
    <row r="686" spans="1:2" x14ac:dyDescent="0.2">
      <c r="A686" s="2" t="s">
        <v>39</v>
      </c>
      <c r="B686" s="2">
        <v>532</v>
      </c>
    </row>
    <row r="687" spans="1:2" x14ac:dyDescent="0.2">
      <c r="A687" s="2" t="s">
        <v>39</v>
      </c>
      <c r="B687" s="2">
        <v>532</v>
      </c>
    </row>
    <row r="688" spans="1:2" x14ac:dyDescent="0.2">
      <c r="A688" s="2" t="s">
        <v>39</v>
      </c>
      <c r="B688" s="2">
        <v>532</v>
      </c>
    </row>
    <row r="689" spans="1:2" x14ac:dyDescent="0.2">
      <c r="A689" s="2" t="s">
        <v>39</v>
      </c>
      <c r="B689" s="2">
        <v>528</v>
      </c>
    </row>
    <row r="690" spans="1:2" x14ac:dyDescent="0.2">
      <c r="A690" s="2" t="s">
        <v>39</v>
      </c>
      <c r="B690" s="2">
        <v>532</v>
      </c>
    </row>
    <row r="691" spans="1:2" x14ac:dyDescent="0.2">
      <c r="A691" s="2" t="s">
        <v>39</v>
      </c>
      <c r="B691" s="2">
        <v>532</v>
      </c>
    </row>
    <row r="692" spans="1:2" x14ac:dyDescent="0.2">
      <c r="A692" s="2" t="s">
        <v>39</v>
      </c>
      <c r="B692" s="2">
        <v>528</v>
      </c>
    </row>
    <row r="693" spans="1:2" x14ac:dyDescent="0.2">
      <c r="A693" s="2" t="s">
        <v>39</v>
      </c>
      <c r="B693" s="2">
        <v>528</v>
      </c>
    </row>
    <row r="694" spans="1:2" x14ac:dyDescent="0.2">
      <c r="A694" s="2" t="s">
        <v>39</v>
      </c>
      <c r="B694" s="2">
        <v>532</v>
      </c>
    </row>
    <row r="695" spans="1:2" x14ac:dyDescent="0.2">
      <c r="A695" s="2" t="s">
        <v>39</v>
      </c>
      <c r="B695" s="2">
        <v>532</v>
      </c>
    </row>
    <row r="696" spans="1:2" x14ac:dyDescent="0.2">
      <c r="A696" s="2" t="s">
        <v>39</v>
      </c>
      <c r="B696" s="2">
        <v>532</v>
      </c>
    </row>
    <row r="697" spans="1:2" x14ac:dyDescent="0.2">
      <c r="A697" s="2" t="s">
        <v>39</v>
      </c>
      <c r="B697" s="2">
        <v>532</v>
      </c>
    </row>
    <row r="698" spans="1:2" x14ac:dyDescent="0.2">
      <c r="A698" s="2" t="s">
        <v>39</v>
      </c>
      <c r="B698" s="2">
        <v>532</v>
      </c>
    </row>
    <row r="699" spans="1:2" x14ac:dyDescent="0.2">
      <c r="A699" s="2" t="s">
        <v>39</v>
      </c>
      <c r="B699" s="2">
        <v>532</v>
      </c>
    </row>
    <row r="700" spans="1:2" x14ac:dyDescent="0.2">
      <c r="A700" s="2" t="s">
        <v>39</v>
      </c>
      <c r="B700" s="2">
        <v>532</v>
      </c>
    </row>
    <row r="701" spans="1:2" x14ac:dyDescent="0.2">
      <c r="A701" s="2" t="s">
        <v>39</v>
      </c>
      <c r="B701" s="2">
        <v>532</v>
      </c>
    </row>
    <row r="702" spans="1:2" x14ac:dyDescent="0.2">
      <c r="A702" s="2" t="s">
        <v>39</v>
      </c>
      <c r="B702" s="2">
        <v>528</v>
      </c>
    </row>
    <row r="703" spans="1:2" x14ac:dyDescent="0.2">
      <c r="A703" s="2" t="s">
        <v>39</v>
      </c>
      <c r="B703" s="2">
        <v>532</v>
      </c>
    </row>
    <row r="704" spans="1:2" x14ac:dyDescent="0.2">
      <c r="A704" s="2" t="s">
        <v>39</v>
      </c>
      <c r="B704" s="2">
        <v>532</v>
      </c>
    </row>
    <row r="705" spans="1:2" x14ac:dyDescent="0.2">
      <c r="A705" s="2" t="s">
        <v>39</v>
      </c>
      <c r="B705" s="2">
        <v>532</v>
      </c>
    </row>
    <row r="706" spans="1:2" x14ac:dyDescent="0.2">
      <c r="A706" s="2" t="s">
        <v>39</v>
      </c>
      <c r="B706" s="2">
        <v>532</v>
      </c>
    </row>
    <row r="707" spans="1:2" x14ac:dyDescent="0.2">
      <c r="A707" s="2" t="s">
        <v>39</v>
      </c>
      <c r="B707" s="2">
        <v>532</v>
      </c>
    </row>
    <row r="708" spans="1:2" x14ac:dyDescent="0.2">
      <c r="A708" s="2" t="s">
        <v>39</v>
      </c>
      <c r="B708" s="2">
        <v>532</v>
      </c>
    </row>
    <row r="709" spans="1:2" x14ac:dyDescent="0.2">
      <c r="A709" s="2" t="s">
        <v>39</v>
      </c>
      <c r="B709" s="2">
        <v>532</v>
      </c>
    </row>
    <row r="710" spans="1:2" x14ac:dyDescent="0.2">
      <c r="A710" s="2" t="s">
        <v>39</v>
      </c>
      <c r="B710" s="2">
        <v>532</v>
      </c>
    </row>
    <row r="711" spans="1:2" x14ac:dyDescent="0.2">
      <c r="A711" s="2" t="s">
        <v>39</v>
      </c>
      <c r="B711" s="2">
        <v>532</v>
      </c>
    </row>
    <row r="712" spans="1:2" x14ac:dyDescent="0.2">
      <c r="A712" s="2" t="s">
        <v>39</v>
      </c>
      <c r="B712" s="2">
        <v>532</v>
      </c>
    </row>
    <row r="713" spans="1:2" x14ac:dyDescent="0.2">
      <c r="A713" s="2" t="s">
        <v>39</v>
      </c>
      <c r="B713" s="2">
        <v>532</v>
      </c>
    </row>
    <row r="714" spans="1:2" x14ac:dyDescent="0.2">
      <c r="A714" s="2" t="s">
        <v>39</v>
      </c>
      <c r="B714" s="2">
        <v>532</v>
      </c>
    </row>
    <row r="715" spans="1:2" x14ac:dyDescent="0.2">
      <c r="A715" s="2" t="s">
        <v>39</v>
      </c>
      <c r="B715" s="2">
        <v>532</v>
      </c>
    </row>
    <row r="716" spans="1:2" x14ac:dyDescent="0.2">
      <c r="A716" s="2" t="s">
        <v>39</v>
      </c>
      <c r="B716" s="2">
        <v>532</v>
      </c>
    </row>
    <row r="717" spans="1:2" x14ac:dyDescent="0.2">
      <c r="A717" s="2" t="s">
        <v>39</v>
      </c>
      <c r="B717" s="2">
        <v>532</v>
      </c>
    </row>
    <row r="718" spans="1:2" x14ac:dyDescent="0.2">
      <c r="A718" s="2" t="s">
        <v>39</v>
      </c>
      <c r="B718" s="2">
        <v>532</v>
      </c>
    </row>
    <row r="719" spans="1:2" x14ac:dyDescent="0.2">
      <c r="A719" s="2" t="s">
        <v>39</v>
      </c>
      <c r="B719" s="2">
        <v>532</v>
      </c>
    </row>
    <row r="720" spans="1:2" x14ac:dyDescent="0.2">
      <c r="A720" s="2" t="s">
        <v>39</v>
      </c>
      <c r="B720" s="2">
        <v>532</v>
      </c>
    </row>
    <row r="721" spans="1:3" x14ac:dyDescent="0.2">
      <c r="A721" s="2" t="s">
        <v>39</v>
      </c>
      <c r="B721" s="2">
        <v>532</v>
      </c>
    </row>
    <row r="722" spans="1:3" x14ac:dyDescent="0.2">
      <c r="A722" s="2" t="s">
        <v>39</v>
      </c>
      <c r="B722" s="2">
        <v>532</v>
      </c>
    </row>
    <row r="723" spans="1:3" x14ac:dyDescent="0.2">
      <c r="A723" s="2" t="s">
        <v>39</v>
      </c>
      <c r="B723" s="2">
        <v>532</v>
      </c>
    </row>
    <row r="724" spans="1:3" x14ac:dyDescent="0.2">
      <c r="A724" s="2" t="s">
        <v>39</v>
      </c>
      <c r="B724" s="2">
        <v>532</v>
      </c>
    </row>
    <row r="725" spans="1:3" x14ac:dyDescent="0.2">
      <c r="A725" s="2" t="s">
        <v>39</v>
      </c>
      <c r="B725" s="2">
        <v>528</v>
      </c>
    </row>
    <row r="726" spans="1:3" x14ac:dyDescent="0.2">
      <c r="A726" s="2" t="s">
        <v>39</v>
      </c>
      <c r="B726" s="2">
        <v>528</v>
      </c>
    </row>
    <row r="727" spans="1:3" x14ac:dyDescent="0.2">
      <c r="A727" s="2"/>
      <c r="B727" s="2">
        <f>AVERAGE(B627:B726)</f>
        <v>531.4</v>
      </c>
      <c r="C727" s="3">
        <f>B727/C1</f>
        <v>0.8856666666666666</v>
      </c>
    </row>
    <row r="728" spans="1:3" x14ac:dyDescent="0.2">
      <c r="A728" s="2"/>
      <c r="B728" s="2"/>
    </row>
    <row r="729" spans="1:3" x14ac:dyDescent="0.2">
      <c r="A729" s="2"/>
      <c r="B729" s="2"/>
    </row>
    <row r="730" spans="1:3" x14ac:dyDescent="0.2">
      <c r="A730" s="2"/>
      <c r="B730" s="2"/>
    </row>
    <row r="731" spans="1:3" x14ac:dyDescent="0.2">
      <c r="A731" s="2" t="s">
        <v>40</v>
      </c>
      <c r="B731" s="2">
        <v>532</v>
      </c>
    </row>
    <row r="732" spans="1:3" x14ac:dyDescent="0.2">
      <c r="A732" s="2" t="s">
        <v>40</v>
      </c>
      <c r="B732" s="2">
        <v>532</v>
      </c>
    </row>
    <row r="733" spans="1:3" x14ac:dyDescent="0.2">
      <c r="A733" s="2" t="s">
        <v>40</v>
      </c>
      <c r="B733" s="2">
        <v>532</v>
      </c>
    </row>
    <row r="734" spans="1:3" x14ac:dyDescent="0.2">
      <c r="A734" s="2" t="s">
        <v>40</v>
      </c>
      <c r="B734" s="2">
        <v>532</v>
      </c>
    </row>
    <row r="735" spans="1:3" x14ac:dyDescent="0.2">
      <c r="A735" s="2" t="s">
        <v>40</v>
      </c>
      <c r="B735" s="2">
        <v>532</v>
      </c>
    </row>
    <row r="736" spans="1:3" x14ac:dyDescent="0.2">
      <c r="A736" s="2" t="s">
        <v>40</v>
      </c>
      <c r="B736" s="2">
        <v>532</v>
      </c>
    </row>
    <row r="737" spans="1:2" x14ac:dyDescent="0.2">
      <c r="A737" s="2" t="s">
        <v>40</v>
      </c>
      <c r="B737" s="2">
        <v>532</v>
      </c>
    </row>
    <row r="738" spans="1:2" x14ac:dyDescent="0.2">
      <c r="A738" s="2" t="s">
        <v>40</v>
      </c>
      <c r="B738" s="2">
        <v>532</v>
      </c>
    </row>
    <row r="739" spans="1:2" x14ac:dyDescent="0.2">
      <c r="A739" s="2" t="s">
        <v>40</v>
      </c>
      <c r="B739" s="2">
        <v>532</v>
      </c>
    </row>
    <row r="740" spans="1:2" x14ac:dyDescent="0.2">
      <c r="A740" s="2" t="s">
        <v>40</v>
      </c>
      <c r="B740" s="2">
        <v>532</v>
      </c>
    </row>
    <row r="741" spans="1:2" x14ac:dyDescent="0.2">
      <c r="A741" s="2" t="s">
        <v>40</v>
      </c>
      <c r="B741" s="2">
        <v>532</v>
      </c>
    </row>
    <row r="742" spans="1:2" x14ac:dyDescent="0.2">
      <c r="A742" s="2" t="s">
        <v>40</v>
      </c>
      <c r="B742" s="2">
        <v>528</v>
      </c>
    </row>
    <row r="743" spans="1:2" x14ac:dyDescent="0.2">
      <c r="A743" s="2" t="s">
        <v>40</v>
      </c>
      <c r="B743" s="2">
        <v>532</v>
      </c>
    </row>
    <row r="744" spans="1:2" x14ac:dyDescent="0.2">
      <c r="A744" s="2" t="s">
        <v>40</v>
      </c>
      <c r="B744" s="2">
        <v>532</v>
      </c>
    </row>
    <row r="745" spans="1:2" x14ac:dyDescent="0.2">
      <c r="A745" s="2" t="s">
        <v>40</v>
      </c>
      <c r="B745" s="2">
        <v>532</v>
      </c>
    </row>
    <row r="746" spans="1:2" x14ac:dyDescent="0.2">
      <c r="A746" s="2" t="s">
        <v>40</v>
      </c>
      <c r="B746" s="2">
        <v>532</v>
      </c>
    </row>
    <row r="747" spans="1:2" x14ac:dyDescent="0.2">
      <c r="A747" s="2" t="s">
        <v>40</v>
      </c>
      <c r="B747" s="2">
        <v>532</v>
      </c>
    </row>
    <row r="748" spans="1:2" x14ac:dyDescent="0.2">
      <c r="A748" s="2" t="s">
        <v>40</v>
      </c>
      <c r="B748" s="2">
        <v>528</v>
      </c>
    </row>
    <row r="749" spans="1:2" x14ac:dyDescent="0.2">
      <c r="A749" s="2" t="s">
        <v>40</v>
      </c>
      <c r="B749" s="2">
        <v>532</v>
      </c>
    </row>
    <row r="750" spans="1:2" x14ac:dyDescent="0.2">
      <c r="A750" s="2" t="s">
        <v>40</v>
      </c>
      <c r="B750" s="2">
        <v>532</v>
      </c>
    </row>
    <row r="751" spans="1:2" x14ac:dyDescent="0.2">
      <c r="A751" s="2" t="s">
        <v>40</v>
      </c>
      <c r="B751" s="2">
        <v>528</v>
      </c>
    </row>
    <row r="752" spans="1:2" x14ac:dyDescent="0.2">
      <c r="A752" s="2" t="s">
        <v>40</v>
      </c>
      <c r="B752" s="2">
        <v>532</v>
      </c>
    </row>
    <row r="753" spans="1:2" x14ac:dyDescent="0.2">
      <c r="A753" s="2" t="s">
        <v>40</v>
      </c>
      <c r="B753" s="2">
        <v>532</v>
      </c>
    </row>
    <row r="754" spans="1:2" x14ac:dyDescent="0.2">
      <c r="A754" s="2" t="s">
        <v>40</v>
      </c>
      <c r="B754" s="2">
        <v>532</v>
      </c>
    </row>
    <row r="755" spans="1:2" x14ac:dyDescent="0.2">
      <c r="A755" s="2" t="s">
        <v>40</v>
      </c>
      <c r="B755" s="2">
        <v>532</v>
      </c>
    </row>
    <row r="756" spans="1:2" x14ac:dyDescent="0.2">
      <c r="A756" s="2" t="s">
        <v>40</v>
      </c>
      <c r="B756" s="2">
        <v>532</v>
      </c>
    </row>
    <row r="757" spans="1:2" x14ac:dyDescent="0.2">
      <c r="A757" s="2" t="s">
        <v>40</v>
      </c>
      <c r="B757" s="2">
        <v>532</v>
      </c>
    </row>
    <row r="758" spans="1:2" x14ac:dyDescent="0.2">
      <c r="A758" s="2" t="s">
        <v>40</v>
      </c>
      <c r="B758" s="2">
        <v>532</v>
      </c>
    </row>
    <row r="759" spans="1:2" x14ac:dyDescent="0.2">
      <c r="A759" s="2" t="s">
        <v>40</v>
      </c>
      <c r="B759" s="2">
        <v>532</v>
      </c>
    </row>
    <row r="760" spans="1:2" x14ac:dyDescent="0.2">
      <c r="A760" s="2" t="s">
        <v>40</v>
      </c>
      <c r="B760" s="2">
        <v>532</v>
      </c>
    </row>
    <row r="761" spans="1:2" x14ac:dyDescent="0.2">
      <c r="A761" s="2" t="s">
        <v>40</v>
      </c>
      <c r="B761" s="2">
        <v>532</v>
      </c>
    </row>
    <row r="762" spans="1:2" x14ac:dyDescent="0.2">
      <c r="A762" s="2" t="s">
        <v>40</v>
      </c>
      <c r="B762" s="2">
        <v>532</v>
      </c>
    </row>
    <row r="763" spans="1:2" x14ac:dyDescent="0.2">
      <c r="A763" s="2" t="s">
        <v>40</v>
      </c>
      <c r="B763" s="2">
        <v>532</v>
      </c>
    </row>
    <row r="764" spans="1:2" x14ac:dyDescent="0.2">
      <c r="A764" s="2" t="s">
        <v>40</v>
      </c>
      <c r="B764" s="2">
        <v>532</v>
      </c>
    </row>
    <row r="765" spans="1:2" x14ac:dyDescent="0.2">
      <c r="A765" s="2" t="s">
        <v>40</v>
      </c>
      <c r="B765" s="2">
        <v>532</v>
      </c>
    </row>
    <row r="766" spans="1:2" x14ac:dyDescent="0.2">
      <c r="A766" s="2" t="s">
        <v>40</v>
      </c>
      <c r="B766" s="2">
        <v>532</v>
      </c>
    </row>
    <row r="767" spans="1:2" x14ac:dyDescent="0.2">
      <c r="A767" s="2" t="s">
        <v>40</v>
      </c>
      <c r="B767" s="2">
        <v>532</v>
      </c>
    </row>
    <row r="768" spans="1:2" x14ac:dyDescent="0.2">
      <c r="A768" s="2" t="s">
        <v>40</v>
      </c>
      <c r="B768" s="2">
        <v>532</v>
      </c>
    </row>
    <row r="769" spans="1:2" x14ac:dyDescent="0.2">
      <c r="A769" s="2" t="s">
        <v>40</v>
      </c>
      <c r="B769" s="2">
        <v>532</v>
      </c>
    </row>
    <row r="770" spans="1:2" x14ac:dyDescent="0.2">
      <c r="A770" s="2" t="s">
        <v>40</v>
      </c>
      <c r="B770" s="2">
        <v>532</v>
      </c>
    </row>
    <row r="771" spans="1:2" x14ac:dyDescent="0.2">
      <c r="A771" s="2" t="s">
        <v>40</v>
      </c>
      <c r="B771" s="2">
        <v>532</v>
      </c>
    </row>
    <row r="772" spans="1:2" x14ac:dyDescent="0.2">
      <c r="A772" s="2" t="s">
        <v>40</v>
      </c>
      <c r="B772" s="2">
        <v>532</v>
      </c>
    </row>
    <row r="773" spans="1:2" x14ac:dyDescent="0.2">
      <c r="A773" s="2" t="s">
        <v>40</v>
      </c>
      <c r="B773" s="2">
        <v>532</v>
      </c>
    </row>
    <row r="774" spans="1:2" x14ac:dyDescent="0.2">
      <c r="A774" s="2" t="s">
        <v>40</v>
      </c>
      <c r="B774" s="2">
        <v>532</v>
      </c>
    </row>
    <row r="775" spans="1:2" x14ac:dyDescent="0.2">
      <c r="A775" s="2" t="s">
        <v>40</v>
      </c>
      <c r="B775" s="2">
        <v>532</v>
      </c>
    </row>
    <row r="776" spans="1:2" x14ac:dyDescent="0.2">
      <c r="A776" s="2" t="s">
        <v>40</v>
      </c>
      <c r="B776" s="2">
        <v>532</v>
      </c>
    </row>
    <row r="777" spans="1:2" x14ac:dyDescent="0.2">
      <c r="A777" s="2" t="s">
        <v>40</v>
      </c>
      <c r="B777" s="2">
        <v>532</v>
      </c>
    </row>
    <row r="778" spans="1:2" x14ac:dyDescent="0.2">
      <c r="A778" s="2" t="s">
        <v>40</v>
      </c>
      <c r="B778" s="2">
        <v>532</v>
      </c>
    </row>
    <row r="779" spans="1:2" x14ac:dyDescent="0.2">
      <c r="A779" s="2" t="s">
        <v>40</v>
      </c>
      <c r="B779" s="2">
        <v>528</v>
      </c>
    </row>
    <row r="780" spans="1:2" x14ac:dyDescent="0.2">
      <c r="A780" s="2" t="s">
        <v>40</v>
      </c>
      <c r="B780" s="2">
        <v>532</v>
      </c>
    </row>
    <row r="781" spans="1:2" x14ac:dyDescent="0.2">
      <c r="A781" s="2" t="s">
        <v>40</v>
      </c>
      <c r="B781" s="2">
        <v>532</v>
      </c>
    </row>
    <row r="782" spans="1:2" x14ac:dyDescent="0.2">
      <c r="A782" s="2" t="s">
        <v>40</v>
      </c>
      <c r="B782" s="2">
        <v>532</v>
      </c>
    </row>
    <row r="783" spans="1:2" x14ac:dyDescent="0.2">
      <c r="A783" s="2" t="s">
        <v>40</v>
      </c>
      <c r="B783" s="2">
        <v>532</v>
      </c>
    </row>
    <row r="784" spans="1:2" x14ac:dyDescent="0.2">
      <c r="A784" s="2" t="s">
        <v>40</v>
      </c>
      <c r="B784" s="2">
        <v>532</v>
      </c>
    </row>
    <row r="785" spans="1:2" x14ac:dyDescent="0.2">
      <c r="A785" s="2" t="s">
        <v>40</v>
      </c>
      <c r="B785" s="2">
        <v>532</v>
      </c>
    </row>
    <row r="786" spans="1:2" x14ac:dyDescent="0.2">
      <c r="A786" s="2" t="s">
        <v>40</v>
      </c>
      <c r="B786" s="2">
        <v>532</v>
      </c>
    </row>
    <row r="787" spans="1:2" x14ac:dyDescent="0.2">
      <c r="A787" s="2" t="s">
        <v>40</v>
      </c>
      <c r="B787" s="2">
        <v>532</v>
      </c>
    </row>
    <row r="788" spans="1:2" x14ac:dyDescent="0.2">
      <c r="A788" s="2" t="s">
        <v>40</v>
      </c>
      <c r="B788" s="2">
        <v>532</v>
      </c>
    </row>
    <row r="789" spans="1:2" x14ac:dyDescent="0.2">
      <c r="A789" s="2" t="s">
        <v>40</v>
      </c>
      <c r="B789" s="2">
        <v>528</v>
      </c>
    </row>
    <row r="790" spans="1:2" x14ac:dyDescent="0.2">
      <c r="A790" s="2" t="s">
        <v>40</v>
      </c>
      <c r="B790" s="2">
        <v>532</v>
      </c>
    </row>
    <row r="791" spans="1:2" x14ac:dyDescent="0.2">
      <c r="A791" s="2" t="s">
        <v>40</v>
      </c>
      <c r="B791" s="2">
        <v>532</v>
      </c>
    </row>
    <row r="792" spans="1:2" x14ac:dyDescent="0.2">
      <c r="A792" s="2" t="s">
        <v>40</v>
      </c>
      <c r="B792" s="2">
        <v>528</v>
      </c>
    </row>
    <row r="793" spans="1:2" x14ac:dyDescent="0.2">
      <c r="A793" s="2" t="s">
        <v>40</v>
      </c>
      <c r="B793" s="2">
        <v>532</v>
      </c>
    </row>
    <row r="794" spans="1:2" x14ac:dyDescent="0.2">
      <c r="A794" s="2" t="s">
        <v>40</v>
      </c>
      <c r="B794" s="2">
        <v>532</v>
      </c>
    </row>
    <row r="795" spans="1:2" x14ac:dyDescent="0.2">
      <c r="A795" s="2" t="s">
        <v>40</v>
      </c>
      <c r="B795" s="2">
        <v>532</v>
      </c>
    </row>
    <row r="796" spans="1:2" x14ac:dyDescent="0.2">
      <c r="A796" s="2" t="s">
        <v>40</v>
      </c>
      <c r="B796" s="2">
        <v>532</v>
      </c>
    </row>
    <row r="797" spans="1:2" x14ac:dyDescent="0.2">
      <c r="A797" s="2" t="s">
        <v>40</v>
      </c>
      <c r="B797" s="2">
        <v>532</v>
      </c>
    </row>
    <row r="798" spans="1:2" x14ac:dyDescent="0.2">
      <c r="A798" s="2" t="s">
        <v>40</v>
      </c>
      <c r="B798" s="2">
        <v>532</v>
      </c>
    </row>
    <row r="799" spans="1:2" x14ac:dyDescent="0.2">
      <c r="A799" s="2" t="s">
        <v>40</v>
      </c>
      <c r="B799" s="2">
        <v>532</v>
      </c>
    </row>
    <row r="800" spans="1:2" x14ac:dyDescent="0.2">
      <c r="A800" s="2" t="s">
        <v>40</v>
      </c>
      <c r="B800" s="2">
        <v>532</v>
      </c>
    </row>
    <row r="801" spans="1:2" x14ac:dyDescent="0.2">
      <c r="A801" s="2" t="s">
        <v>40</v>
      </c>
      <c r="B801" s="2">
        <v>532</v>
      </c>
    </row>
    <row r="802" spans="1:2" x14ac:dyDescent="0.2">
      <c r="A802" s="2" t="s">
        <v>40</v>
      </c>
      <c r="B802" s="2">
        <v>532</v>
      </c>
    </row>
    <row r="803" spans="1:2" x14ac:dyDescent="0.2">
      <c r="A803" s="2" t="s">
        <v>40</v>
      </c>
      <c r="B803" s="2">
        <v>532</v>
      </c>
    </row>
    <row r="804" spans="1:2" x14ac:dyDescent="0.2">
      <c r="A804" s="2" t="s">
        <v>40</v>
      </c>
      <c r="B804" s="2">
        <v>532</v>
      </c>
    </row>
    <row r="805" spans="1:2" x14ac:dyDescent="0.2">
      <c r="A805" s="2" t="s">
        <v>40</v>
      </c>
      <c r="B805" s="2">
        <v>528</v>
      </c>
    </row>
    <row r="806" spans="1:2" x14ac:dyDescent="0.2">
      <c r="A806" s="2" t="s">
        <v>40</v>
      </c>
      <c r="B806" s="2">
        <v>532</v>
      </c>
    </row>
    <row r="807" spans="1:2" x14ac:dyDescent="0.2">
      <c r="A807" s="2" t="s">
        <v>40</v>
      </c>
      <c r="B807" s="2">
        <v>528</v>
      </c>
    </row>
    <row r="808" spans="1:2" x14ac:dyDescent="0.2">
      <c r="A808" s="2" t="s">
        <v>40</v>
      </c>
      <c r="B808" s="2">
        <v>532</v>
      </c>
    </row>
    <row r="809" spans="1:2" x14ac:dyDescent="0.2">
      <c r="A809" s="2" t="s">
        <v>40</v>
      </c>
      <c r="B809" s="2">
        <v>532</v>
      </c>
    </row>
    <row r="810" spans="1:2" x14ac:dyDescent="0.2">
      <c r="A810" s="2" t="s">
        <v>40</v>
      </c>
      <c r="B810" s="2">
        <v>532</v>
      </c>
    </row>
    <row r="811" spans="1:2" x14ac:dyDescent="0.2">
      <c r="A811" s="2" t="s">
        <v>40</v>
      </c>
      <c r="B811" s="2">
        <v>528</v>
      </c>
    </row>
    <row r="812" spans="1:2" x14ac:dyDescent="0.2">
      <c r="A812" s="2" t="s">
        <v>40</v>
      </c>
      <c r="B812" s="2">
        <v>532</v>
      </c>
    </row>
    <row r="813" spans="1:2" x14ac:dyDescent="0.2">
      <c r="A813" s="2" t="s">
        <v>40</v>
      </c>
      <c r="B813" s="2">
        <v>532</v>
      </c>
    </row>
    <row r="814" spans="1:2" x14ac:dyDescent="0.2">
      <c r="A814" s="2" t="s">
        <v>40</v>
      </c>
      <c r="B814" s="2">
        <v>532</v>
      </c>
    </row>
    <row r="815" spans="1:2" x14ac:dyDescent="0.2">
      <c r="A815" s="2" t="s">
        <v>40</v>
      </c>
      <c r="B815" s="2">
        <v>532</v>
      </c>
    </row>
    <row r="816" spans="1:2" x14ac:dyDescent="0.2">
      <c r="A816" s="2" t="s">
        <v>40</v>
      </c>
      <c r="B816" s="2">
        <v>532</v>
      </c>
    </row>
    <row r="817" spans="1:3" x14ac:dyDescent="0.2">
      <c r="A817" s="2" t="s">
        <v>40</v>
      </c>
      <c r="B817" s="2">
        <v>532</v>
      </c>
    </row>
    <row r="818" spans="1:3" x14ac:dyDescent="0.2">
      <c r="A818" s="2" t="s">
        <v>40</v>
      </c>
      <c r="B818" s="2">
        <v>532</v>
      </c>
    </row>
    <row r="819" spans="1:3" x14ac:dyDescent="0.2">
      <c r="A819" s="2" t="s">
        <v>40</v>
      </c>
      <c r="B819" s="2">
        <v>528</v>
      </c>
    </row>
    <row r="820" spans="1:3" x14ac:dyDescent="0.2">
      <c r="A820" s="2" t="s">
        <v>40</v>
      </c>
      <c r="B820" s="2">
        <v>528</v>
      </c>
    </row>
    <row r="821" spans="1:3" x14ac:dyDescent="0.2">
      <c r="A821" s="2" t="s">
        <v>40</v>
      </c>
      <c r="B821" s="2">
        <v>532</v>
      </c>
    </row>
    <row r="822" spans="1:3" x14ac:dyDescent="0.2">
      <c r="A822" s="2" t="s">
        <v>40</v>
      </c>
      <c r="B822" s="2">
        <v>532</v>
      </c>
    </row>
    <row r="823" spans="1:3" x14ac:dyDescent="0.2">
      <c r="A823" s="2" t="s">
        <v>40</v>
      </c>
      <c r="B823" s="2">
        <v>532</v>
      </c>
    </row>
    <row r="824" spans="1:3" x14ac:dyDescent="0.2">
      <c r="A824" s="2" t="s">
        <v>40</v>
      </c>
      <c r="B824" s="2">
        <v>532</v>
      </c>
    </row>
    <row r="825" spans="1:3" x14ac:dyDescent="0.2">
      <c r="A825" s="2" t="s">
        <v>40</v>
      </c>
      <c r="B825" s="2">
        <v>532</v>
      </c>
    </row>
    <row r="826" spans="1:3" x14ac:dyDescent="0.2">
      <c r="A826" s="2" t="s">
        <v>40</v>
      </c>
      <c r="B826" s="2">
        <v>532</v>
      </c>
    </row>
    <row r="827" spans="1:3" x14ac:dyDescent="0.2">
      <c r="A827" s="2" t="s">
        <v>40</v>
      </c>
      <c r="B827" s="2">
        <v>528</v>
      </c>
    </row>
    <row r="828" spans="1:3" x14ac:dyDescent="0.2">
      <c r="A828" s="2" t="s">
        <v>40</v>
      </c>
      <c r="B828" s="2">
        <v>532</v>
      </c>
    </row>
    <row r="829" spans="1:3" x14ac:dyDescent="0.2">
      <c r="A829" s="2" t="s">
        <v>40</v>
      </c>
      <c r="B829" s="2">
        <v>532</v>
      </c>
    </row>
    <row r="830" spans="1:3" x14ac:dyDescent="0.2">
      <c r="A830" s="2" t="s">
        <v>40</v>
      </c>
      <c r="B830" s="2">
        <v>532</v>
      </c>
    </row>
    <row r="831" spans="1:3" x14ac:dyDescent="0.2">
      <c r="B831" s="1">
        <f>AVERAGE(B731:B830)</f>
        <v>531.52</v>
      </c>
      <c r="C831" s="3">
        <f>B831/C1</f>
        <v>0.88586666666666669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stats_DesertRegion_uav8.txt3781</vt:lpstr>
      <vt:lpstr>cell-per-subpath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2023-03-04T01:18:16Z</dcterms:created>
  <dcterms:modified xsi:type="dcterms:W3CDTF">2023-03-04T11:11:04Z</dcterms:modified>
</cp:coreProperties>
</file>